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qraq\Desktop\"/>
    </mc:Choice>
  </mc:AlternateContent>
  <xr:revisionPtr revIDLastSave="0" documentId="13_ncr:1_{97F8A66C-5936-4742-9768-22445D74ED01}" xr6:coauthVersionLast="47" xr6:coauthVersionMax="47" xr10:uidLastSave="{00000000-0000-0000-0000-000000000000}"/>
  <bookViews>
    <workbookView xWindow="28680" yWindow="-2310" windowWidth="29040" windowHeight="15720" xr2:uid="{922E0FAE-0241-45FA-AF92-6E230D4F56DE}"/>
  </bookViews>
  <sheets>
    <sheet name="spec" sheetId="12" r:id="rId1"/>
    <sheet name="LCOP" sheetId="13" r:id="rId2"/>
    <sheet name="Appendix" sheetId="10" r:id="rId3"/>
    <sheet name="Notes" sheetId="14" r:id="rId4"/>
  </sheets>
  <definedNames>
    <definedName name="_xlnm.Print_Area" localSheetId="0">spec!$AM$16:$BD$56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3" l="1" a="1"/>
  <c r="V7" i="13" a="1"/>
  <c r="U7" i="13" a="1"/>
  <c r="S7" i="13" a="1"/>
  <c r="T7" i="13" a="1"/>
  <c r="T7" i="13" l="1"/>
  <c r="S7" i="13"/>
  <c r="U7" i="13"/>
  <c r="V7" i="13"/>
  <c r="W7" i="13"/>
  <c r="X7" i="13" l="1"/>
  <c r="AE7" i="13" s="1"/>
  <c r="AD7" i="13" l="1"/>
  <c r="AG7" i="13"/>
  <c r="AC7" i="13"/>
  <c r="M11" i="13"/>
  <c r="AF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<sst xmlns="http://schemas.openxmlformats.org/spreadsheetml/2006/main" count="174" uniqueCount="141">
  <si>
    <t>Process Technology</t>
  </si>
  <si>
    <t>HEFA</t>
  </si>
  <si>
    <t>FT-BtL</t>
  </si>
  <si>
    <t>Mass Fractions (%)</t>
  </si>
  <si>
    <t>ATJ</t>
  </si>
  <si>
    <t>Jet</t>
  </si>
  <si>
    <t>Diesel</t>
  </si>
  <si>
    <t>Gasoline</t>
  </si>
  <si>
    <t>Propane</t>
  </si>
  <si>
    <t>Naphtha</t>
  </si>
  <si>
    <t>Type of Feedstocks</t>
  </si>
  <si>
    <t>FOGs</t>
  </si>
  <si>
    <t>MSW</t>
  </si>
  <si>
    <t>Forest Residues</t>
  </si>
  <si>
    <t>Agriculture Residues</t>
  </si>
  <si>
    <t>Sugarcane</t>
  </si>
  <si>
    <t>Bagasse</t>
  </si>
  <si>
    <t>Molasses</t>
  </si>
  <si>
    <t>Wheat Straw</t>
  </si>
  <si>
    <t>Yield (kg H2/kg liquid fuel)</t>
  </si>
  <si>
    <t>Yield (kWh/kg liquid fuel)</t>
  </si>
  <si>
    <t>Product Price</t>
  </si>
  <si>
    <t>TCI_ref</t>
  </si>
  <si>
    <t>Capacity_ref</t>
  </si>
  <si>
    <t>Nnp (Number of non-particulate Processing Steps)</t>
  </si>
  <si>
    <t>Others</t>
  </si>
  <si>
    <t>Plant Lifetime</t>
  </si>
  <si>
    <t>P (No. of Processing Steps)</t>
  </si>
  <si>
    <t>Soybean Oil</t>
  </si>
  <si>
    <t>User Input</t>
  </si>
  <si>
    <t>Land Cost</t>
  </si>
  <si>
    <t>Process</t>
  </si>
  <si>
    <t>Year</t>
  </si>
  <si>
    <t>Capital Investment (USD)</t>
  </si>
  <si>
    <t>Revenue (USD)</t>
  </si>
  <si>
    <t>Loan Payment</t>
  </si>
  <si>
    <t>Manufacturing Cost (USD)</t>
  </si>
  <si>
    <t>Income tax (USD)</t>
  </si>
  <si>
    <t>After tax net profit (USD)</t>
  </si>
  <si>
    <t>After-Tax Cash flow (USD)</t>
  </si>
  <si>
    <t>Loan Term (Years)</t>
  </si>
  <si>
    <t>Loan Amount</t>
  </si>
  <si>
    <t xml:space="preserve"> </t>
  </si>
  <si>
    <t>From Calculated Values</t>
  </si>
  <si>
    <t>Equity*TCI - WC</t>
  </si>
  <si>
    <t>WC=0.15* TCI</t>
  </si>
  <si>
    <t>Constant Value * Refer to Appendix</t>
  </si>
  <si>
    <t>Loan Amount = TCI*(100% - Equity%)</t>
  </si>
  <si>
    <t>Equity (%)</t>
  </si>
  <si>
    <t>Bank Interest Rate (%)</t>
  </si>
  <si>
    <t>Depreciation (USD)</t>
  </si>
  <si>
    <t>Remaining value of Plant (USD)</t>
  </si>
  <si>
    <t>0.05 TCI from 1 to 20 years only</t>
  </si>
  <si>
    <t>TCI - Depreciation</t>
  </si>
  <si>
    <t>(Revenue - Depreciation - Loan Payment - Manufacturing Cost) x Income Tax %</t>
  </si>
  <si>
    <t>Revenue - Loan Payment - Manufacturing Cost - Income Tax</t>
  </si>
  <si>
    <t>After tax net profit + Capital Investment</t>
  </si>
  <si>
    <t>Use IRR Function &amp; After-Tax Cash Flow Series to get IRR'</t>
  </si>
  <si>
    <t>Use NPV Function &amp; After-Tax Cash Flow Series to get NPV</t>
  </si>
  <si>
    <t>OUTPUT DISPLAYS</t>
  </si>
  <si>
    <t>TOTAL CAPITAL INVESTMENT</t>
  </si>
  <si>
    <t xml:space="preserve">Plant Total Liquid Fuel Capacity </t>
  </si>
  <si>
    <t>*UNIT:KTPA</t>
  </si>
  <si>
    <t>Project Lifetime</t>
  </si>
  <si>
    <t>Feedstock Price</t>
  </si>
  <si>
    <t>Ratio</t>
  </si>
  <si>
    <t>PTL-FC-DAC</t>
  </si>
  <si>
    <t>Feedstock Type</t>
  </si>
  <si>
    <t>NPV(0.07,After-Tax Cash Flow)</t>
  </si>
  <si>
    <t>TOTAL DIRECT OPEX</t>
  </si>
  <si>
    <t>TOTAL INDIRECT OPEX</t>
  </si>
  <si>
    <t>EACH OF THE FEEDSTOCK COST</t>
  </si>
  <si>
    <t>EACH OF THE FEEDSTOCK, AMOUNT OF CONSUMPTION</t>
  </si>
  <si>
    <t>* Do this step for all the product. Eg: SAF,DIESEL,GASOLINE,NAPTHA,PROPANE</t>
  </si>
  <si>
    <t>*Do this step for all the feedstock, hydrogen and electricity are used for all the process technology, but the main feedstocks differ for each technology.</t>
  </si>
  <si>
    <t>Feedstock Yield (kg biomass/kg liquid fuel)</t>
  </si>
  <si>
    <t>EACH OF THE PRODUCT, AMOUNT PRODUCED</t>
  </si>
  <si>
    <t>Discount Rate (7%)</t>
  </si>
  <si>
    <t>CNDCF (USD)</t>
  </si>
  <si>
    <t>P/(P/F,I,n)</t>
  </si>
  <si>
    <t>DCF (USD)</t>
  </si>
  <si>
    <t>CDCF(USD)</t>
  </si>
  <si>
    <t>Discount Rate (%)</t>
  </si>
  <si>
    <t>Payback Period is the year first year CDCF get positive value.</t>
  </si>
  <si>
    <t>TOTAL OPEX</t>
  </si>
  <si>
    <t>Type of Feedstock</t>
  </si>
  <si>
    <t>SAF Production (KTPA)</t>
  </si>
  <si>
    <t>TCI ($)</t>
  </si>
  <si>
    <t>Costs of Biomass (USD/yr)</t>
  </si>
  <si>
    <t>Costs of Hydrogen (USD/yr)</t>
  </si>
  <si>
    <t>Total Indirect Costs (USD/yr)</t>
  </si>
  <si>
    <t>Sum ($)</t>
  </si>
  <si>
    <t>LEVELIZED COST OF PRODUCTION (LCOP) AND BREAKDOWN</t>
  </si>
  <si>
    <t>Costs of Electricity (USD/yr)</t>
  </si>
  <si>
    <t>Levelized Cost of Production</t>
  </si>
  <si>
    <t>Rate</t>
  </si>
  <si>
    <t>Non-Discounted</t>
  </si>
  <si>
    <t>Discounted</t>
  </si>
  <si>
    <t>Cost Breakdown (%)</t>
  </si>
  <si>
    <t>EXAMPLE</t>
  </si>
  <si>
    <t>Costs of Electricity(USD/yr)</t>
  </si>
  <si>
    <t>I created separate sheet for LCOP for your better understanding.</t>
  </si>
  <si>
    <t xml:space="preserve">LCOP </t>
  </si>
  <si>
    <t>Plant Total Liquid Fuel Capacity (KTPA)</t>
  </si>
  <si>
    <t>usd/ton</t>
  </si>
  <si>
    <t>Terminology Changes</t>
  </si>
  <si>
    <t>Before</t>
  </si>
  <si>
    <t>After</t>
  </si>
  <si>
    <t>Production Capcity</t>
  </si>
  <si>
    <t>Plant Total Liquid Fuel Production Capacity</t>
  </si>
  <si>
    <t>TCI</t>
  </si>
  <si>
    <t>Total Capital Investment</t>
  </si>
  <si>
    <t>Manufacturing Cost</t>
  </si>
  <si>
    <t>Total OPEX</t>
  </si>
  <si>
    <t>Remove CEPCI.</t>
  </si>
  <si>
    <t>Total Direct Cost</t>
  </si>
  <si>
    <t>Total Direct OPEX</t>
  </si>
  <si>
    <t>Total Indirect OPEX</t>
  </si>
  <si>
    <t>Total Indirect Cost</t>
  </si>
  <si>
    <t>Remove Cost of Operating Labour.</t>
  </si>
  <si>
    <t>Remove Lnd Cost</t>
  </si>
  <si>
    <t>Total Indirect OPEX calculation changed.</t>
  </si>
  <si>
    <t>Equity, Bank Interest Rate, Income Tax, Loan Term will be fixed value not user input.</t>
  </si>
  <si>
    <t>Changes in Calculation to calculate Cost of Feedstocks, same ways but instead of one equation will be separate into 2 step calculation because we want to displays the output.</t>
  </si>
  <si>
    <t>A lot more output displays, refer to spec.</t>
  </si>
  <si>
    <t xml:space="preserve">Changes in how levelized cost of production are being calculated. </t>
  </si>
  <si>
    <t>PRODUCTION</t>
  </si>
  <si>
    <t>*Do this step for all products (jet fuel, diesel, ….)</t>
  </si>
  <si>
    <t>FEEDSTOCK CONSUMPTION</t>
  </si>
  <si>
    <t>Feedstock Carbon Intensity</t>
  </si>
  <si>
    <t>CARBON INTENSITY</t>
  </si>
  <si>
    <t>Feedstock Carbon Content</t>
  </si>
  <si>
    <t>CARBON CONVERSION EFFICIENCY</t>
  </si>
  <si>
    <t>Indicate both variable are the same</t>
  </si>
  <si>
    <t>TOTAL CO2 EMISSIONS</t>
  </si>
  <si>
    <t>*Do this step for all products (jet fuel, diesel, ….) and sum them up</t>
  </si>
  <si>
    <t>Product Carbon Content</t>
  </si>
  <si>
    <t>To be update</t>
  </si>
  <si>
    <t>Conversion Process Carbon Intensity</t>
  </si>
  <si>
    <t>Product Energy Content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</si>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</sst>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9" fontId="1" fillId="3" borderId="1" xfId="1" applyFont="1" applyFill="1" applyBorder="1"/>
    <xf numFmtId="10" fontId="1" fillId="3" borderId="1" xfId="1" applyNumberFormat="1" applyFont="1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9" fontId="2" fillId="4" borderId="0" xfId="1" applyFont="1" applyFill="1" applyBorder="1"/>
    <xf numFmtId="9" fontId="0" fillId="4" borderId="0" xfId="1" applyFont="1" applyFill="1" applyBorder="1"/>
    <xf numFmtId="10" fontId="0" fillId="4" borderId="0" xfId="1" applyNumberFormat="1" applyFont="1" applyFill="1" applyBorder="1"/>
    <xf numFmtId="0" fontId="2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2" borderId="0" xfId="0" applyFill="1" applyAlignment="1">
      <alignment wrapText="1"/>
    </xf>
    <xf numFmtId="9" fontId="2" fillId="4" borderId="0" xfId="1" applyFont="1" applyFill="1"/>
    <xf numFmtId="0" fontId="4" fillId="5" borderId="0" xfId="0" applyFont="1" applyFill="1"/>
    <xf numFmtId="9" fontId="0" fillId="2" borderId="1" xfId="1" applyFont="1" applyFill="1" applyBorder="1"/>
    <xf numFmtId="9" fontId="0" fillId="2" borderId="0" xfId="0" applyNumberFormat="1" applyFill="1"/>
    <xf numFmtId="10" fontId="0" fillId="2" borderId="1" xfId="0" applyNumberFormat="1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/>
    <xf numFmtId="9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164" fontId="0" fillId="2" borderId="1" xfId="1" applyNumberFormat="1" applyFont="1" applyFill="1" applyBorder="1"/>
    <xf numFmtId="1" fontId="0" fillId="2" borderId="1" xfId="0" applyNumberFormat="1" applyFill="1" applyBorder="1"/>
    <xf numFmtId="0" fontId="2" fillId="0" borderId="0" xfId="0" applyFont="1"/>
    <xf numFmtId="0" fontId="2" fillId="2" borderId="0" xfId="0" applyFont="1" applyFill="1" applyAlignment="1">
      <alignment wrapText="1"/>
    </xf>
    <xf numFmtId="0" fontId="0" fillId="2" borderId="4" xfId="0" applyFill="1" applyBorder="1" applyAlignment="1">
      <alignment wrapText="1"/>
    </xf>
    <xf numFmtId="0" fontId="0" fillId="2" borderId="7" xfId="0" applyFill="1" applyBorder="1"/>
    <xf numFmtId="0" fontId="0" fillId="6" borderId="0" xfId="0" applyFill="1"/>
    <xf numFmtId="0" fontId="0" fillId="7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FF"/>
      <color rgb="FF00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Appendix!A1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517717</xdr:colOff>
      <xdr:row>4</xdr:row>
      <xdr:rowOff>255905</xdr:rowOff>
    </xdr:from>
    <xdr:to>
      <xdr:col>56</xdr:col>
      <xdr:colOff>212169</xdr:colOff>
      <xdr:row>105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8208958-97C8-9775-3304-380C52507BF7}"/>
            </a:ext>
          </a:extLst>
        </xdr:cNvPr>
        <xdr:cNvGrpSpPr/>
      </xdr:nvGrpSpPr>
      <xdr:grpSpPr>
        <a:xfrm>
          <a:off x="1466407" y="971176"/>
          <a:ext cx="41357923" cy="20779442"/>
          <a:chOff x="1462597" y="987425"/>
          <a:chExt cx="41543492" cy="21110575"/>
        </a:xfrm>
      </xdr:grpSpPr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FBDF3C46-41F1-939C-478C-CE3461E557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525249" y="6371030"/>
            <a:ext cx="2964535" cy="759862"/>
          </a:xfrm>
          <a:prstGeom prst="rect">
            <a:avLst/>
          </a:prstGeom>
          <a:noFill/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" name="TextBox 1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E8C1E287-16E9-4A82-BC7C-43512546128B}"/>
                  </a:ext>
                </a:extLst>
              </xdr:cNvPr>
              <xdr:cNvSpPr txBox="1"/>
            </xdr:nvSpPr>
            <xdr:spPr>
              <a:xfrm>
                <a:off x="7370723" y="2422778"/>
                <a:ext cx="5496163" cy="596445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𝑻𝒐𝒕𝒂𝒍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𝑪𝒂𝒑𝒊𝒕𝒂𝒍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𝑰𝒏𝒗𝒆𝒔𝒕𝒎𝒆𝒏𝒕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1" i="1">
                          <a:solidFill>
                            <a:schemeClr val="accent5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</a:rPr>
                        <m:t>𝑻𝑪</m:t>
                      </m:r>
                      <m:sSub>
                        <m:sSubPr>
                          <m:ctrlPr>
                            <a:rPr lang="en-MY" sz="1100" b="1" i="1">
                              <a:solidFill>
                                <a:schemeClr val="accent5">
                                  <a:lumMod val="5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MY" sz="1100" b="1" i="1">
                              <a:solidFill>
                                <a:schemeClr val="accent5">
                                  <a:lumMod val="5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𝑰</m:t>
                          </m:r>
                        </m:e>
                        <m:sub>
                          <m:r>
                            <a:rPr lang="en-MY" sz="1100" b="1" i="1">
                              <a:solidFill>
                                <a:schemeClr val="accent5">
                                  <a:lumMod val="5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𝒓𝒆𝒇</m:t>
                          </m:r>
                        </m:sub>
                      </m:sSub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sSup>
                        <m:sSupPr>
                          <m:ctrlPr>
                            <a:rPr lang="en-MY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MY" sz="1100" b="1" i="1">
                                  <a:solidFill>
                                    <a:sysClr val="windowText" lastClr="000000"/>
                                  </a:solidFill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f>
                                <m:fPr>
                                  <m:ctrlP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𝑷𝒍𝒂𝒏𝒕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𝑻𝒐𝒕𝒂𝒍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𝑳𝒊𝒒𝒖𝒊𝒅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𝑭𝒖𝒆𝒍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𝑪𝒂𝒑𝒂𝒄𝒊𝒕𝒚</m:t>
                                  </m:r>
                                  <m:r>
                                    <a:rPr lang="en-MY" sz="1100" b="1" i="1">
                                      <a:solidFill>
                                        <a:sysClr val="windowText" lastClr="000000"/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</m:num>
                                <m:den>
                                  <m:r>
                                    <a:rPr lang="en-MY" sz="1100" b="1" i="1">
                                      <a:solidFill>
                                        <a:schemeClr val="accent5">
                                          <a:lumMod val="50000"/>
                                        </a:schemeClr>
                                      </a:solidFill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𝑪𝒂𝒑𝒂𝒄𝒊𝒕</m:t>
                                  </m:r>
                                  <m:sSub>
                                    <m:sSubPr>
                                      <m:ctrlPr>
                                        <a:rPr lang="en-MY" sz="1100" b="1" i="1">
                                          <a:solidFill>
                                            <a:schemeClr val="accent5">
                                              <a:lumMod val="50000"/>
                                            </a:schemeClr>
                                          </a:solidFill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MY" sz="1100" b="1" i="1">
                                          <a:solidFill>
                                            <a:schemeClr val="accent5">
                                              <a:lumMod val="50000"/>
                                            </a:schemeClr>
                                          </a:solidFill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𝒚</m:t>
                                      </m:r>
                                    </m:e>
                                    <m:sub>
                                      <m:r>
                                        <a:rPr lang="en-MY" sz="1100" b="1" i="1">
                                          <a:solidFill>
                                            <a:schemeClr val="accent5">
                                              <a:lumMod val="50000"/>
                                            </a:schemeClr>
                                          </a:solidFill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𝒓𝒆𝒇</m:t>
                                      </m:r>
                                    </m:sub>
                                  </m:sSub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𝟎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.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𝟔</m:t>
                          </m:r>
                        </m:sup>
                      </m:sSup>
                    </m:oMath>
                  </m:oMathPara>
                </a14:m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Choice>
        <mc:Fallback>
          <xdr:sp macro="" textlink="">
            <xdr:nvSpPr>
              <xdr:cNvPr id="2" name="TextBox 1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E8C1E287-16E9-4A82-BC7C-43512546128B}"/>
                  </a:ext>
                </a:extLst>
              </xdr:cNvPr>
              <xdr:cNvSpPr txBox="1"/>
            </xdr:nvSpPr>
            <xdr:spPr>
              <a:xfrm>
                <a:off x="7370723" y="2422778"/>
                <a:ext cx="5496163" cy="596445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𝑻𝒐𝒕𝒂𝒍 𝑪𝒂𝒑𝒊𝒕𝒂𝒍 𝑰𝒏𝒗𝒆𝒔𝒕𝒎𝒆𝒏𝒕=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</a:rPr>
                  <a:t>𝑻𝑪𝑰_𝒓𝒆𝒇</a:t>
                </a:r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×((𝑷𝒍𝒂𝒏𝒕 𝑻𝒐𝒕𝒂𝒍 𝑳𝒊𝒒𝒖𝒊𝒅 𝑭𝒖𝒆𝒍 𝑪𝒂𝒑𝒂𝒄𝒊𝒕𝒚 )/(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𝑪𝒂𝒑𝒂𝒄𝒊𝒕𝒚_𝒓𝒆𝒇 </a:t>
                </a:r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)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)</a:t>
                </a:r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^(𝟎.𝟔)</a:t>
                </a:r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Fallback>
      </mc:AlternateContent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46BA36A-D906-4E5C-82E5-A66F4948A69D}"/>
              </a:ext>
            </a:extLst>
          </xdr:cNvPr>
          <xdr:cNvSpPr/>
        </xdr:nvSpPr>
        <xdr:spPr>
          <a:xfrm>
            <a:off x="7212114" y="2263896"/>
            <a:ext cx="6797966" cy="83114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6C03E130-B06D-4096-A934-84FA8273E789}"/>
                  </a:ext>
                </a:extLst>
              </xdr:cNvPr>
              <xdr:cNvSpPr txBox="1"/>
            </xdr:nvSpPr>
            <xdr:spPr>
              <a:xfrm>
                <a:off x="11569334" y="6594894"/>
                <a:ext cx="2872739" cy="34599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1" i="1">
                    <a:solidFill>
                      <a:sysClr val="windowText" lastClr="000000"/>
                    </a:solidFill>
                    <a:latin typeface="Math"/>
                  </a:rPr>
                  <a:t>F</a:t>
                </a:r>
                <a14:m>
                  <m:oMath xmlns:m="http://schemas.openxmlformats.org/officeDocument/2006/math"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𝑒𝑒𝑑𝑠𝑡𝑜𝑐𝑘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𝐹𝑒𝑒𝑑𝑠𝑡𝑜𝑐𝑘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𝐶𝑜𝑛𝑠𝑢𝑚𝑝𝑡𝑖𝑜𝑛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 ×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𝐹𝑒𝑒𝑑𝑠𝑡𝑜𝑐𝑘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𝑃𝑟𝑖𝑐𝑒</m:t>
                    </m:r>
                  </m:oMath>
                </a14:m>
                <a:endParaRPr lang="en-MY" sz="1100" b="0">
                  <a:solidFill>
                    <a:schemeClr val="accent1">
                      <a:lumMod val="50000"/>
                    </a:schemeClr>
                  </a:solidFill>
                  <a:ea typeface="Cambria Math" panose="02040503050406030204" pitchFamily="18" charset="0"/>
                </a:endParaRPr>
              </a:p>
            </xdr:txBody>
          </xdr:sp>
        </mc:Choice>
        <mc:Fallback xmlns="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6C03E130-B06D-4096-A934-84FA8273E789}"/>
                  </a:ext>
                </a:extLst>
              </xdr:cNvPr>
              <xdr:cNvSpPr txBox="1"/>
            </xdr:nvSpPr>
            <xdr:spPr>
              <a:xfrm>
                <a:off x="11569334" y="6594894"/>
                <a:ext cx="2872739" cy="34599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1" i="1">
                    <a:solidFill>
                      <a:sysClr val="windowText" lastClr="000000"/>
                    </a:solidFill>
                    <a:latin typeface="Math"/>
                  </a:rPr>
                  <a:t>F</a:t>
                </a:r>
                <a:r>
                  <a:rPr lang="en-MY" sz="1100" b="0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𝑒𝑒𝑑𝑠𝑡𝑜𝑐𝑘 𝐶𝑜𝑠𝑡=𝐹𝑒𝑒𝑑𝑠𝑡𝑜𝑐𝑘 𝐶𝑜𝑛𝑠𝑢𝑚𝑝𝑡𝑖𝑜𝑛  ×𝐹𝑒𝑒𝑑𝑠𝑡𝑜𝑐𝑘 𝑃𝑟𝑖𝑐𝑒</a:t>
                </a:r>
                <a:endParaRPr lang="en-MY" sz="1100" b="0">
                  <a:solidFill>
                    <a:schemeClr val="accent1">
                      <a:lumMod val="50000"/>
                    </a:schemeClr>
                  </a:solidFill>
                  <a:ea typeface="Cambria Math" panose="02040503050406030204" pitchFamily="18" charset="0"/>
                </a:endParaRPr>
              </a:p>
            </xdr:txBody>
          </xdr:sp>
        </mc:Fallback>
      </mc:AlternateContent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62F6FFE-659B-4DF4-9B37-A635BF35ED08}"/>
              </a:ext>
            </a:extLst>
          </xdr:cNvPr>
          <xdr:cNvSpPr/>
        </xdr:nvSpPr>
        <xdr:spPr>
          <a:xfrm>
            <a:off x="7366570" y="6400994"/>
            <a:ext cx="3043286" cy="1104865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D00F1C40-F565-4F7C-AEA8-549AE9B17B02}"/>
              </a:ext>
            </a:extLst>
          </xdr:cNvPr>
          <xdr:cNvSpPr/>
        </xdr:nvSpPr>
        <xdr:spPr>
          <a:xfrm>
            <a:off x="1530601" y="5343729"/>
            <a:ext cx="4262498" cy="760054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2A5030-3225-4B32-8B09-A79DA3F061B3}"/>
              </a:ext>
            </a:extLst>
          </xdr:cNvPr>
          <xdr:cNvSpPr txBox="1"/>
        </xdr:nvSpPr>
        <xdr:spPr>
          <a:xfrm>
            <a:off x="11231880" y="11548110"/>
            <a:ext cx="65" cy="172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endParaRPr lang="en-MY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FD7A1EAC-6990-4CB4-9781-9F325D96B59C}"/>
                  </a:ext>
                </a:extLst>
              </xdr:cNvPr>
              <xdr:cNvSpPr txBox="1"/>
            </xdr:nvSpPr>
            <xdr:spPr>
              <a:xfrm>
                <a:off x="15012853" y="8231505"/>
                <a:ext cx="2044582" cy="710048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𝐷𝑖𝑟𝑒𝑐𝑡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𝑂𝑃𝐸𝑋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𝑆𝑢𝑚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𝐴𝑙𝑙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𝐹𝑒𝑒𝑑𝑠𝑡𝑜𝑐𝑘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𝐶𝑜𝑠𝑡</m:t>
                      </m:r>
                    </m:oMath>
                  </m:oMathPara>
                </a14:m>
                <a:endParaRPr lang="en-MY" sz="1100"/>
              </a:p>
            </xdr:txBody>
          </xdr:sp>
        </mc:Choice>
        <mc:Fallback xmlns=""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FD7A1EAC-6990-4CB4-9781-9F325D96B59C}"/>
                  </a:ext>
                </a:extLst>
              </xdr:cNvPr>
              <xdr:cNvSpPr txBox="1"/>
            </xdr:nvSpPr>
            <xdr:spPr>
              <a:xfrm>
                <a:off x="15012853" y="8231505"/>
                <a:ext cx="2044582" cy="710048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𝑇𝑜𝑡𝑎𝑙 𝐷𝑖𝑟𝑒𝑐𝑡 𝑂𝑃𝐸𝑋=𝑆𝑢𝑚 𝑜𝑓 𝐴𝑙𝑙 𝐹𝑒𝑒𝑑𝑠𝑡𝑜𝑐𝑘 𝐶𝑜𝑠𝑡</a:t>
                </a:r>
                <a:endParaRPr lang="en-MY" sz="1100"/>
              </a:p>
            </xdr:txBody>
          </xdr:sp>
        </mc:Fallback>
      </mc:AlternateContent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D8A278F-D1B1-40D5-8E1C-4D47AA714D56}"/>
              </a:ext>
            </a:extLst>
          </xdr:cNvPr>
          <xdr:cNvSpPr/>
        </xdr:nvSpPr>
        <xdr:spPr>
          <a:xfrm>
            <a:off x="14862810" y="8126730"/>
            <a:ext cx="2143125" cy="64079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5AADB24B-3BA5-4AA0-84B1-12BD15DC2267}"/>
              </a:ext>
            </a:extLst>
          </xdr:cNvPr>
          <xdr:cNvCxnSpPr>
            <a:cxnSpLocks/>
            <a:stCxn id="119" idx="2"/>
            <a:endCxn id="22" idx="1"/>
          </xdr:cNvCxnSpPr>
        </xdr:nvCxnSpPr>
        <xdr:spPr>
          <a:xfrm>
            <a:off x="13008469" y="7128987"/>
            <a:ext cx="1858151" cy="132385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6" name="TextBox 25">
                <a:extLst>
                  <a:ext uri="{FF2B5EF4-FFF2-40B4-BE49-F238E27FC236}">
                    <a16:creationId xmlns:a16="http://schemas.microsoft.com/office/drawing/2014/main" id="{1EC41680-5C94-4809-92E1-F9A7F0478FDD}"/>
                  </a:ext>
                </a:extLst>
              </xdr:cNvPr>
              <xdr:cNvSpPr txBox="1"/>
            </xdr:nvSpPr>
            <xdr:spPr>
              <a:xfrm>
                <a:off x="16852437" y="6217373"/>
                <a:ext cx="2130662" cy="597684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𝐼𝑛𝑑𝑖𝑟𝑒𝑐𝑡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𝑂𝑃𝐸𝑋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=</m:t>
                      </m:r>
                    </m:oMath>
                  </m:oMathPara>
                </a14:m>
                <a:endParaRPr lang="en-MY" sz="1100" b="0" i="1">
                  <a:latin typeface="Cambria Math" panose="02040503050406030204" pitchFamily="18" charset="0"/>
                </a:endParaRPr>
              </a:p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en-MY" sz="1100" b="0" i="1">
                          <a:latin typeface="Cambria Math" panose="02040503050406030204" pitchFamily="18" charset="0"/>
                        </a:rPr>
                        <m:t>R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𝑎𝑡𝑖𝑜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×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𝐶𝑎𝑝𝑖𝑡𝑎𝑙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𝐼𝑛𝑣𝑒𝑠𝑡𝑚𝑒𝑛𝑡</m:t>
                      </m:r>
                    </m:oMath>
                  </m:oMathPara>
                </a14:m>
                <a:endParaRPr lang="en-MY" sz="1100" b="0">
                  <a:ea typeface="Cambria Math" panose="02040503050406030204" pitchFamily="18" charset="0"/>
                </a:endParaRPr>
              </a:p>
              <a:p>
                <a:endParaRPr lang="en-MY" sz="1100"/>
              </a:p>
            </xdr:txBody>
          </xdr:sp>
        </mc:Choice>
        <mc:Fallback xmlns="">
          <xdr:sp macro="" textlink="">
            <xdr:nvSpPr>
              <xdr:cNvPr id="26" name="TextBox 25">
                <a:extLst>
                  <a:ext uri="{FF2B5EF4-FFF2-40B4-BE49-F238E27FC236}">
                    <a16:creationId xmlns:a16="http://schemas.microsoft.com/office/drawing/2014/main" id="{1EC41680-5C94-4809-92E1-F9A7F0478FDD}"/>
                  </a:ext>
                </a:extLst>
              </xdr:cNvPr>
              <xdr:cNvSpPr txBox="1"/>
            </xdr:nvSpPr>
            <xdr:spPr>
              <a:xfrm>
                <a:off x="16852437" y="6217373"/>
                <a:ext cx="2130662" cy="597684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𝑇𝑜𝑡𝑎𝑙 𝐼𝑛𝑑𝑖𝑟𝑒𝑐𝑡 𝑂𝑃𝐸𝑋=</a:t>
                </a:r>
                <a:endParaRPr lang="en-MY" sz="1100" b="0" i="1">
                  <a:latin typeface="Cambria Math" panose="02040503050406030204" pitchFamily="18" charset="0"/>
                </a:endParaRPr>
              </a:p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R𝑎𝑡𝑖𝑜 ×</a:t>
                </a:r>
                <a:r>
                  <a:rPr lang="en-MY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𝑇𝑜𝑡𝑎𝑙 𝐶𝑎𝑝𝑖𝑡𝑎𝑙 𝐼𝑛𝑣𝑒𝑠𝑡𝑚𝑒𝑛𝑡</a:t>
                </a:r>
                <a:endParaRPr lang="en-MY" sz="1100" b="0">
                  <a:ea typeface="Cambria Math" panose="02040503050406030204" pitchFamily="18" charset="0"/>
                </a:endParaRPr>
              </a:p>
              <a:p>
                <a:endParaRPr lang="en-MY" sz="1100"/>
              </a:p>
            </xdr:txBody>
          </xdr:sp>
        </mc:Fallback>
      </mc:AlternateContent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90FE9514-D17D-411E-B9CA-8BC3A82A298B}"/>
              </a:ext>
            </a:extLst>
          </xdr:cNvPr>
          <xdr:cNvSpPr/>
        </xdr:nvSpPr>
        <xdr:spPr>
          <a:xfrm>
            <a:off x="16674535" y="6087823"/>
            <a:ext cx="2395495" cy="1501697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9BACCEA7-2CB1-466A-B537-A47614D4C859}"/>
              </a:ext>
            </a:extLst>
          </xdr:cNvPr>
          <xdr:cNvCxnSpPr>
            <a:cxnSpLocks/>
            <a:stCxn id="3" idx="3"/>
            <a:endCxn id="27" idx="1"/>
          </xdr:cNvCxnSpPr>
        </xdr:nvCxnSpPr>
        <xdr:spPr>
          <a:xfrm>
            <a:off x="14011985" y="2673252"/>
            <a:ext cx="2662550" cy="424162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EDA15150-1448-4B9B-AC77-A7573E03FA4F}"/>
                  </a:ext>
                </a:extLst>
              </xdr:cNvPr>
              <xdr:cNvSpPr txBox="1"/>
            </xdr:nvSpPr>
            <xdr:spPr>
              <a:xfrm>
                <a:off x="21109038" y="8389171"/>
                <a:ext cx="2109730" cy="347531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0" i="0">
                    <a:latin typeface="+mn-lt"/>
                  </a:rPr>
                  <a:t>Total</a:t>
                </a:r>
                <a:r>
                  <a:rPr lang="en-MY" sz="1100" b="0" i="0" baseline="0">
                    <a:latin typeface="+mn-lt"/>
                  </a:rPr>
                  <a:t> OPEX </a:t>
                </a:r>
                <a14:m>
                  <m:oMath xmlns:m="http://schemas.openxmlformats.org/officeDocument/2006/math">
                    <m:r>
                      <a:rPr lang="en-MY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𝐷𝑖𝑟𝑒𝑐𝑡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𝑂𝑃𝐸𝑋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𝐼𝑛𝑑𝑖𝑟𝑒𝑐𝑡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𝑂𝑃𝐸𝑋</m:t>
                    </m:r>
                  </m:oMath>
                </a14:m>
                <a:endParaRPr lang="en-MY" sz="1100"/>
              </a:p>
            </xdr:txBody>
          </xdr:sp>
        </mc:Choice>
        <mc:Fallback xmlns=""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EDA15150-1448-4B9B-AC77-A7573E03FA4F}"/>
                  </a:ext>
                </a:extLst>
              </xdr:cNvPr>
              <xdr:cNvSpPr txBox="1"/>
            </xdr:nvSpPr>
            <xdr:spPr>
              <a:xfrm>
                <a:off x="21109038" y="8389171"/>
                <a:ext cx="2109730" cy="347531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0" i="0">
                    <a:latin typeface="+mn-lt"/>
                  </a:rPr>
                  <a:t>Total</a:t>
                </a:r>
                <a:r>
                  <a:rPr lang="en-MY" sz="1100" b="0" i="0" baseline="0">
                    <a:latin typeface="+mn-lt"/>
                  </a:rPr>
                  <a:t> OPEX </a:t>
                </a:r>
                <a:r>
                  <a:rPr lang="en-MY" sz="1100" b="0" i="0">
                    <a:latin typeface="Cambria Math" panose="02040503050406030204" pitchFamily="18" charset="0"/>
                  </a:rPr>
                  <a:t>=𝑇𝑜𝑡𝑎𝑙 𝐷𝑖𝑟𝑒𝑐𝑡 𝑂𝑃𝐸𝑋+𝑇𝑜𝑡𝑎𝑙 𝐼𝑛𝑑𝑖𝑟𝑒𝑐𝑡 𝑂𝑃𝐸𝑋</a:t>
                </a:r>
                <a:endParaRPr lang="en-MY" sz="1100"/>
              </a:p>
            </xdr:txBody>
          </xdr:sp>
        </mc:Fallback>
      </mc:AlternateContent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ED758A4B-A0C3-48A9-B7F7-AC3C9976E05E}"/>
              </a:ext>
            </a:extLst>
          </xdr:cNvPr>
          <xdr:cNvSpPr/>
        </xdr:nvSpPr>
        <xdr:spPr>
          <a:xfrm>
            <a:off x="21036341" y="8193245"/>
            <a:ext cx="2080352" cy="6746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2505E33C-9D9A-4AA7-BB57-BF66C75BAF06}"/>
              </a:ext>
            </a:extLst>
          </xdr:cNvPr>
          <xdr:cNvCxnSpPr>
            <a:stCxn id="27" idx="3"/>
            <a:endCxn id="30" idx="1"/>
          </xdr:cNvCxnSpPr>
        </xdr:nvCxnSpPr>
        <xdr:spPr>
          <a:xfrm>
            <a:off x="19070030" y="6914872"/>
            <a:ext cx="1964406" cy="161927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DAEF0969-BA29-40D1-8A18-E10B6815C039}"/>
              </a:ext>
            </a:extLst>
          </xdr:cNvPr>
          <xdr:cNvCxnSpPr>
            <a:cxnSpLocks/>
            <a:stCxn id="3" idx="3"/>
          </xdr:cNvCxnSpPr>
        </xdr:nvCxnSpPr>
        <xdr:spPr>
          <a:xfrm>
            <a:off x="14010080" y="2672300"/>
            <a:ext cx="12296098" cy="664767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BD5CD9EB-E029-4A02-BEB9-A846E6347A51}"/>
              </a:ext>
            </a:extLst>
          </xdr:cNvPr>
          <xdr:cNvCxnSpPr>
            <a:cxnSpLocks/>
            <a:stCxn id="30" idx="3"/>
          </xdr:cNvCxnSpPr>
        </xdr:nvCxnSpPr>
        <xdr:spPr>
          <a:xfrm>
            <a:off x="23120503" y="8529878"/>
            <a:ext cx="3143188" cy="77136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41FD9755-E750-4244-A031-72F205B085F2}"/>
                  </a:ext>
                </a:extLst>
              </xdr:cNvPr>
              <xdr:cNvSpPr txBox="1"/>
            </xdr:nvSpPr>
            <xdr:spPr>
              <a:xfrm>
                <a:off x="15529985" y="11620746"/>
                <a:ext cx="4060180" cy="34599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𝑹𝒆𝒗𝒆𝒏𝒖𝒆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𝑨𝒎𝒐𝒖𝒏𝒕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𝒐𝒇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𝑷𝒓𝒐𝒅𝒖𝒄𝒕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MY" sz="11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𝑷𝒓𝒐𝒅𝒖𝒄𝒕</m:t>
                      </m:r>
                      <m:r>
                        <a:rPr lang="en-MY" sz="11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𝑷𝒓𝒊𝒄𝒆</m:t>
                      </m:r>
                    </m:oMath>
                  </m:oMathPara>
                </a14:m>
                <a:endParaRPr lang="en-MY" sz="1100" b="1">
                  <a:solidFill>
                    <a:schemeClr val="tx1"/>
                  </a:solidFill>
                  <a:ea typeface="Cambria Math" panose="02040503050406030204" pitchFamily="18" charset="0"/>
                </a:endParaRPr>
              </a:p>
              <a:p>
                <a:endParaRPr lang="en-MY" sz="1100" b="0">
                  <a:solidFill>
                    <a:sysClr val="windowText" lastClr="00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41FD9755-E750-4244-A031-72F205B085F2}"/>
                  </a:ext>
                </a:extLst>
              </xdr:cNvPr>
              <xdr:cNvSpPr txBox="1"/>
            </xdr:nvSpPr>
            <xdr:spPr>
              <a:xfrm>
                <a:off x="15529985" y="11620746"/>
                <a:ext cx="4060180" cy="34599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𝑹𝒆𝒗𝒆𝒏𝒖𝒆=𝑨𝒎𝒐𝒖𝒏𝒕 𝒐𝒇 𝑷𝒓𝒐𝒅𝒖𝒄𝒕×</a:t>
                </a:r>
                <a:r>
                  <a:rPr lang="en-MY" sz="1100" b="1" i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𝑷𝒓𝒐𝒅𝒖𝒄𝒕 𝑷𝒓𝒊𝒄𝒆</a:t>
                </a:r>
                <a:endParaRPr lang="en-MY" sz="1100" b="1">
                  <a:solidFill>
                    <a:schemeClr val="tx1"/>
                  </a:solidFill>
                  <a:ea typeface="Cambria Math" panose="02040503050406030204" pitchFamily="18" charset="0"/>
                </a:endParaRPr>
              </a:p>
              <a:p>
                <a:endParaRPr lang="en-MY" sz="1100" b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52C5D29E-FDB0-4A13-8DAF-4EFC36123C33}"/>
              </a:ext>
            </a:extLst>
          </xdr:cNvPr>
          <xdr:cNvSpPr/>
        </xdr:nvSpPr>
        <xdr:spPr>
          <a:xfrm>
            <a:off x="7280237" y="11519382"/>
            <a:ext cx="5670179" cy="1359063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79ACCF59-BD36-43DB-922E-B5058896DD21}"/>
              </a:ext>
            </a:extLst>
          </xdr:cNvPr>
          <xdr:cNvSpPr/>
        </xdr:nvSpPr>
        <xdr:spPr>
          <a:xfrm>
            <a:off x="1534844" y="2439131"/>
            <a:ext cx="4104689" cy="116380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B199F638-00D6-4167-BF5D-7CE8476C8131}"/>
              </a:ext>
            </a:extLst>
          </xdr:cNvPr>
          <xdr:cNvCxnSpPr>
            <a:stCxn id="42" idx="3"/>
            <a:endCxn id="3" idx="1"/>
          </xdr:cNvCxnSpPr>
        </xdr:nvCxnSpPr>
        <xdr:spPr>
          <a:xfrm flipV="1">
            <a:off x="5643343" y="2672300"/>
            <a:ext cx="1568771" cy="34334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EB7DF18B-5517-4E6A-B74A-67155FE96B9A}"/>
              </a:ext>
            </a:extLst>
          </xdr:cNvPr>
          <xdr:cNvCxnSpPr>
            <a:stCxn id="42" idx="3"/>
            <a:endCxn id="5" idx="1"/>
          </xdr:cNvCxnSpPr>
        </xdr:nvCxnSpPr>
        <xdr:spPr>
          <a:xfrm>
            <a:off x="5643343" y="3014130"/>
            <a:ext cx="1723227" cy="392937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B3CE7E8E-F9F1-4E49-AD4E-7E5CAF4AD97C}"/>
              </a:ext>
            </a:extLst>
          </xdr:cNvPr>
          <xdr:cNvCxnSpPr>
            <a:stCxn id="42" idx="3"/>
            <a:endCxn id="40" idx="1"/>
          </xdr:cNvCxnSpPr>
        </xdr:nvCxnSpPr>
        <xdr:spPr>
          <a:xfrm>
            <a:off x="5643343" y="3015644"/>
            <a:ext cx="1636894" cy="918761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1AAADEC0-7A97-4D04-B7BC-2B2A5F481621}"/>
              </a:ext>
            </a:extLst>
          </xdr:cNvPr>
          <xdr:cNvCxnSpPr>
            <a:stCxn id="6" idx="3"/>
            <a:endCxn id="3" idx="1"/>
          </xdr:cNvCxnSpPr>
        </xdr:nvCxnSpPr>
        <xdr:spPr>
          <a:xfrm flipV="1">
            <a:off x="5795004" y="2672300"/>
            <a:ext cx="1417110" cy="304443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0B7BAEF0-A828-4EA2-A4BF-1992C1D6F76F}"/>
              </a:ext>
            </a:extLst>
          </xdr:cNvPr>
          <xdr:cNvCxnSpPr>
            <a:stCxn id="6" idx="3"/>
            <a:endCxn id="5" idx="1"/>
          </xdr:cNvCxnSpPr>
        </xdr:nvCxnSpPr>
        <xdr:spPr>
          <a:xfrm>
            <a:off x="5795004" y="5717406"/>
            <a:ext cx="1571566" cy="122609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5A6F1EEB-4FB2-4AD9-B6F0-27FF6520E754}"/>
              </a:ext>
            </a:extLst>
          </xdr:cNvPr>
          <xdr:cNvSpPr/>
        </xdr:nvSpPr>
        <xdr:spPr>
          <a:xfrm>
            <a:off x="1532350" y="6712961"/>
            <a:ext cx="4260593" cy="565125"/>
          </a:xfrm>
          <a:prstGeom prst="rect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MY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D4E11139-76B9-490B-A070-B4A474C53F98}"/>
              </a:ext>
            </a:extLst>
          </xdr:cNvPr>
          <xdr:cNvCxnSpPr>
            <a:stCxn id="53" idx="3"/>
            <a:endCxn id="5" idx="1"/>
          </xdr:cNvCxnSpPr>
        </xdr:nvCxnSpPr>
        <xdr:spPr>
          <a:xfrm flipV="1">
            <a:off x="5794848" y="6943505"/>
            <a:ext cx="1571722" cy="4424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0125D2A7-2F8C-4B93-9659-21DEF132D546}"/>
              </a:ext>
            </a:extLst>
          </xdr:cNvPr>
          <xdr:cNvSpPr/>
        </xdr:nvSpPr>
        <xdr:spPr>
          <a:xfrm>
            <a:off x="1483414" y="11750203"/>
            <a:ext cx="4262498" cy="868517"/>
          </a:xfrm>
          <a:prstGeom prst="rect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MY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7014AC06-2E6D-46CD-AC80-1BCADE3C7D3E}"/>
              </a:ext>
            </a:extLst>
          </xdr:cNvPr>
          <xdr:cNvCxnSpPr>
            <a:stCxn id="61" idx="3"/>
            <a:endCxn id="40" idx="1"/>
          </xdr:cNvCxnSpPr>
        </xdr:nvCxnSpPr>
        <xdr:spPr>
          <a:xfrm>
            <a:off x="5745912" y="12186366"/>
            <a:ext cx="1534325" cy="1689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E2C130F0-15B1-480A-8147-FA2BF5E43593}"/>
              </a:ext>
            </a:extLst>
          </xdr:cNvPr>
          <xdr:cNvSpPr/>
        </xdr:nvSpPr>
        <xdr:spPr>
          <a:xfrm>
            <a:off x="1462597" y="14303140"/>
            <a:ext cx="4163408" cy="124293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C086F044-5798-4B12-8595-9D6CF2C54F33}"/>
              </a:ext>
            </a:extLst>
          </xdr:cNvPr>
          <xdr:cNvCxnSpPr>
            <a:cxnSpLocks/>
            <a:stCxn id="65" idx="3"/>
          </xdr:cNvCxnSpPr>
        </xdr:nvCxnSpPr>
        <xdr:spPr>
          <a:xfrm flipV="1">
            <a:off x="5626005" y="9295530"/>
            <a:ext cx="20637686" cy="5624948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2C43777E-AE9C-43BD-AD62-24B0432046E2}"/>
              </a:ext>
            </a:extLst>
          </xdr:cNvPr>
          <xdr:cNvSpPr/>
        </xdr:nvSpPr>
        <xdr:spPr>
          <a:xfrm>
            <a:off x="28764536" y="6901793"/>
            <a:ext cx="892504" cy="127569"/>
          </a:xfrm>
          <a:prstGeom prst="ellipse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9D92101C-B3AB-4F2D-B201-F98A984598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690833" y="7071819"/>
            <a:ext cx="847605" cy="152205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D9162BD0-7E78-4342-91A9-59EF767852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823360" y="7224837"/>
            <a:ext cx="834599" cy="215996"/>
          </a:xfrm>
          <a:prstGeom prst="rect">
            <a:avLst/>
          </a:prstGeom>
        </xdr:spPr>
      </xdr:pic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C61B2F56-59A3-4331-958F-995937A5CA46}"/>
              </a:ext>
            </a:extLst>
          </xdr:cNvPr>
          <xdr:cNvCxnSpPr>
            <a:stCxn id="67" idx="7"/>
          </xdr:cNvCxnSpPr>
        </xdr:nvCxnSpPr>
        <xdr:spPr>
          <a:xfrm flipV="1">
            <a:off x="29517648" y="5838825"/>
            <a:ext cx="34617" cy="108383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584EFF97-FEDD-456F-A033-D733C535B6C0}"/>
              </a:ext>
            </a:extLst>
          </xdr:cNvPr>
          <xdr:cNvCxnSpPr>
            <a:stCxn id="68" idx="1"/>
          </xdr:cNvCxnSpPr>
        </xdr:nvCxnSpPr>
        <xdr:spPr>
          <a:xfrm flipH="1">
            <a:off x="27633185" y="7139263"/>
            <a:ext cx="1061458" cy="26737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333DA198-0C6E-44FB-B2FA-12EE5D4FDC26}"/>
              </a:ext>
            </a:extLst>
          </xdr:cNvPr>
          <xdr:cNvCxnSpPr>
            <a:stCxn id="69" idx="1"/>
          </xdr:cNvCxnSpPr>
        </xdr:nvCxnSpPr>
        <xdr:spPr>
          <a:xfrm flipH="1">
            <a:off x="27695337" y="7328283"/>
            <a:ext cx="1128023" cy="2689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33BD6D53-0286-4869-B229-F8BF6948D048}"/>
              </a:ext>
            </a:extLst>
          </xdr:cNvPr>
          <xdr:cNvSpPr/>
        </xdr:nvSpPr>
        <xdr:spPr>
          <a:xfrm>
            <a:off x="26649088" y="4044583"/>
            <a:ext cx="16357001" cy="18053417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ACC0D3C4-DEB3-4889-907A-E1EEC0A3A605}"/>
              </a:ext>
            </a:extLst>
          </xdr:cNvPr>
          <xdr:cNvSpPr/>
        </xdr:nvSpPr>
        <xdr:spPr>
          <a:xfrm>
            <a:off x="31717615" y="6563360"/>
            <a:ext cx="1033780" cy="354330"/>
          </a:xfrm>
          <a:prstGeom prst="ellipse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24824D0-C911-4F68-B01A-43BB3C30DB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3893760" y="6410325"/>
            <a:ext cx="1062701" cy="558165"/>
          </a:xfrm>
          <a:prstGeom prst="rect">
            <a:avLst/>
          </a:prstGeom>
        </xdr:spPr>
      </xdr:pic>
      <xdr:cxnSp macro="">
        <xdr:nvCxnSpPr>
          <xdr:cNvPr id="76" name="Straight Arrow Connector 75">
            <a:extLst>
              <a:ext uri="{FF2B5EF4-FFF2-40B4-BE49-F238E27FC236}">
                <a16:creationId xmlns:a16="http://schemas.microsoft.com/office/drawing/2014/main" id="{86078266-27EF-40CB-B293-BCC8EA831AE4}"/>
              </a:ext>
            </a:extLst>
          </xdr:cNvPr>
          <xdr:cNvCxnSpPr>
            <a:stCxn id="74" idx="0"/>
          </xdr:cNvCxnSpPr>
        </xdr:nvCxnSpPr>
        <xdr:spPr>
          <a:xfrm flipV="1">
            <a:off x="32243395" y="5807075"/>
            <a:ext cx="1666240" cy="75247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097F6457-B447-442C-B5FE-0B8A47672F79}"/>
              </a:ext>
            </a:extLst>
          </xdr:cNvPr>
          <xdr:cNvCxnSpPr>
            <a:stCxn id="75" idx="0"/>
          </xdr:cNvCxnSpPr>
        </xdr:nvCxnSpPr>
        <xdr:spPr>
          <a:xfrm flipV="1">
            <a:off x="34419396" y="5870575"/>
            <a:ext cx="45864" cy="53594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A6B929BB-17C3-4E6D-854A-3741F962090B}"/>
              </a:ext>
            </a:extLst>
          </xdr:cNvPr>
          <xdr:cNvSpPr/>
        </xdr:nvSpPr>
        <xdr:spPr>
          <a:xfrm>
            <a:off x="23343870" y="987425"/>
            <a:ext cx="3509010" cy="1437828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EBE8409E-C3EC-4F14-AD2C-46F17484F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2717740" y="6436360"/>
            <a:ext cx="1042253" cy="570659"/>
          </a:xfrm>
          <a:prstGeom prst="rect">
            <a:avLst/>
          </a:prstGeom>
        </xdr:spPr>
      </xdr:pic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76EF338B-4009-4DEE-BB51-B612318988C4}"/>
              </a:ext>
            </a:extLst>
          </xdr:cNvPr>
          <xdr:cNvCxnSpPr>
            <a:endCxn id="87" idx="2"/>
          </xdr:cNvCxnSpPr>
        </xdr:nvCxnSpPr>
        <xdr:spPr>
          <a:xfrm flipV="1">
            <a:off x="33211770" y="4284416"/>
            <a:ext cx="977663" cy="204081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1F0DA2EC-702D-4732-8748-585073F33041}"/>
              </a:ext>
            </a:extLst>
          </xdr:cNvPr>
          <xdr:cNvCxnSpPr/>
        </xdr:nvCxnSpPr>
        <xdr:spPr>
          <a:xfrm flipV="1">
            <a:off x="35844480" y="4974590"/>
            <a:ext cx="691515" cy="146558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DA74A468-6C3A-487E-8E40-710C8C2FD64A}"/>
              </a:ext>
            </a:extLst>
          </xdr:cNvPr>
          <xdr:cNvCxnSpPr/>
        </xdr:nvCxnSpPr>
        <xdr:spPr>
          <a:xfrm flipV="1">
            <a:off x="36633150" y="5624195"/>
            <a:ext cx="252095" cy="76454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15D7C39C-9486-4855-8ED1-B5C8C30C2D88}"/>
              </a:ext>
            </a:extLst>
          </xdr:cNvPr>
          <xdr:cNvCxnSpPr/>
        </xdr:nvCxnSpPr>
        <xdr:spPr>
          <a:xfrm flipV="1">
            <a:off x="30101540" y="5213350"/>
            <a:ext cx="111125" cy="119126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742FFF38-1612-492F-893B-8C9E48F32708}"/>
              </a:ext>
            </a:extLst>
          </xdr:cNvPr>
          <xdr:cNvCxnSpPr/>
        </xdr:nvCxnSpPr>
        <xdr:spPr>
          <a:xfrm flipV="1">
            <a:off x="30930215" y="5751195"/>
            <a:ext cx="31750" cy="55816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C1912D0B-6D80-4F8A-8532-70EA54046137}"/>
              </a:ext>
            </a:extLst>
          </xdr:cNvPr>
          <xdr:cNvCxnSpPr/>
        </xdr:nvCxnSpPr>
        <xdr:spPr>
          <a:xfrm flipV="1">
            <a:off x="38094920" y="6156960"/>
            <a:ext cx="241817" cy="54927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31EE6CD6-83D7-44E0-B4A3-5CBA949A103F}"/>
              </a:ext>
            </a:extLst>
          </xdr:cNvPr>
          <xdr:cNvSpPr txBox="1"/>
        </xdr:nvSpPr>
        <xdr:spPr>
          <a:xfrm>
            <a:off x="30401347" y="6072226"/>
            <a:ext cx="65" cy="172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endParaRPr lang="en-MY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904AE538-FEAE-4C37-AB2C-C35A654E38BA}"/>
                  </a:ext>
                </a:extLst>
              </xdr:cNvPr>
              <xdr:cNvSpPr txBox="1"/>
            </xdr:nvSpPr>
            <xdr:spPr>
              <a:xfrm>
                <a:off x="30972611" y="4114460"/>
                <a:ext cx="6442726" cy="17376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a:rPr lang="en-MY" sz="1100" b="0" i="1">
                        <a:latin typeface="Cambria Math" panose="02040503050406030204" pitchFamily="18" charset="0"/>
                      </a:rPr>
                      <m:t>𝐿𝑜𝑎𝑛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𝑃𝑎𝑦𝑚𝑒𝑛𝑡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=(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𝐵𝑎𝑛𝑘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𝐼𝑛𝑡𝑒𝑟𝑒𝑠𝑡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𝑅𝑎𝑡𝑒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𝐿𝑜𝑎𝑛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𝐴𝑚𝑜𝑢𝑛𝑡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)/(1−(1+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𝐵𝑎𝑛𝑘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𝐼𝑛𝑡𝑒𝑟𝑒𝑠𝑡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𝑅𝑎𝑡𝑒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a14:m>
                <a:r>
                  <a:rPr lang="en-MY" sz="1100"/>
                  <a:t>^-Loan Term)</a:t>
                </a:r>
              </a:p>
            </xdr:txBody>
          </xdr:sp>
        </mc:Choice>
        <mc:Fallback xmlns=""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904AE538-FEAE-4C37-AB2C-C35A654E38BA}"/>
                  </a:ext>
                </a:extLst>
              </xdr:cNvPr>
              <xdr:cNvSpPr txBox="1"/>
            </xdr:nvSpPr>
            <xdr:spPr>
              <a:xfrm>
                <a:off x="30972611" y="4114460"/>
                <a:ext cx="6442726" cy="17376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MY" sz="1100" b="0" i="0">
                    <a:latin typeface="Cambria Math" panose="02040503050406030204" pitchFamily="18" charset="0"/>
                  </a:rPr>
                  <a:t>𝐿𝑜𝑎𝑛 𝑃𝑎𝑦𝑚𝑒𝑛𝑡=(𝐵𝑎𝑛𝑘 𝐼𝑛𝑡𝑒𝑟𝑒𝑠𝑡 𝑅𝑎𝑡𝑒 (%)  </a:t>
                </a:r>
                <a:r>
                  <a:rPr lang="en-MY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×𝐿𝑜𝑎𝑛 𝐴𝑚𝑜𝑢𝑛𝑡)/(1−(1+𝐵𝑎𝑛𝑘 𝐼𝑛𝑡𝑒𝑟𝑒𝑠𝑡 𝑅𝑎𝑡𝑒)</a:t>
                </a:r>
                <a:r>
                  <a:rPr lang="en-MY" sz="1100"/>
                  <a:t>^-Loan Term)</a:t>
                </a:r>
              </a:p>
            </xdr:txBody>
          </xdr:sp>
        </mc:Fallback>
      </mc:AlternateContent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9B693604-DD3B-5DEA-9E65-A05F42F3B2B8}"/>
              </a:ext>
            </a:extLst>
          </xdr:cNvPr>
          <xdr:cNvCxnSpPr>
            <a:endCxn id="30" idx="1"/>
          </xdr:cNvCxnSpPr>
        </xdr:nvCxnSpPr>
        <xdr:spPr>
          <a:xfrm>
            <a:off x="17041937" y="8450192"/>
            <a:ext cx="3992499" cy="8395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" name="TextBox 10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49FFB044-BCD8-3F5E-CCB4-61A5DC5FEB28}"/>
                  </a:ext>
                </a:extLst>
              </xdr:cNvPr>
              <xdr:cNvSpPr txBox="1"/>
            </xdr:nvSpPr>
            <xdr:spPr>
              <a:xfrm>
                <a:off x="7410057" y="6561267"/>
                <a:ext cx="3077253" cy="511358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a:rPr lang="en-MY" sz="1100" b="0" i="1">
                        <a:latin typeface="Cambria Math" panose="02040503050406030204" pitchFamily="18" charset="0"/>
                      </a:rPr>
                      <m:t>𝐹𝑒𝑒𝑑𝑠𝑡𝑜𝑐𝑘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𝐶𝑜𝑛𝑠𝑢𝑚𝑝𝑡𝑖𝑜𝑛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𝑃𝑙𝑎𝑛𝑡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𝐿𝑖𝑞𝑢𝑖𝑑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𝐹𝑢𝑒𝑙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𝐶𝑎𝑝𝑎𝑐𝑖𝑡𝑦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1" i="0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</m:t>
                    </m:r>
                  </m:oMath>
                </a14:m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 Feedstock Yield</a:t>
                </a:r>
                <a:endParaRPr lang="en-MY" sz="1100" b="1" i="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xdr:txBody>
          </xdr:sp>
        </mc:Choice>
        <mc:Fallback>
          <xdr:sp macro="" textlink="">
            <xdr:nvSpPr>
              <xdr:cNvPr id="110" name="TextBox 10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49FFB044-BCD8-3F5E-CCB4-61A5DC5FEB28}"/>
                  </a:ext>
                </a:extLst>
              </xdr:cNvPr>
              <xdr:cNvSpPr txBox="1"/>
            </xdr:nvSpPr>
            <xdr:spPr>
              <a:xfrm>
                <a:off x="7410057" y="6561267"/>
                <a:ext cx="3077253" cy="511358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0" i="0">
                    <a:latin typeface="Cambria Math" panose="02040503050406030204" pitchFamily="18" charset="0"/>
                  </a:rPr>
                  <a:t>𝐹𝑒𝑒𝑑𝑠𝑡𝑜𝑐𝑘 𝐶𝑜𝑛𝑠𝑢𝑚𝑝𝑡𝑖𝑜𝑛=𝑃𝑙𝑎𝑛𝑡 𝑇𝑜𝑡𝑎𝑙 𝐿𝑖𝑞𝑢𝑖𝑑 𝐹𝑢𝑒𝑙 𝐶𝑎𝑝𝑎𝑐𝑖𝑡𝑦 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×  Feedstock Yield</a:t>
                </a:r>
                <a:endParaRPr lang="en-MY" sz="1100" b="1" i="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xdr:txBody>
          </xdr:sp>
        </mc:Fallback>
      </mc:AlternateContent>
      <xdr:cxnSp macro="">
        <xdr:nvCxnSpPr>
          <xdr:cNvPr id="127" name="Straight Arrow Connector 126">
            <a:extLst>
              <a:ext uri="{FF2B5EF4-FFF2-40B4-BE49-F238E27FC236}">
                <a16:creationId xmlns:a16="http://schemas.microsoft.com/office/drawing/2014/main" id="{A9846FFB-05A3-71C6-35EF-C33835072E54}"/>
              </a:ext>
            </a:extLst>
          </xdr:cNvPr>
          <xdr:cNvCxnSpPr>
            <a:endCxn id="119" idx="1"/>
          </xdr:cNvCxnSpPr>
        </xdr:nvCxnSpPr>
        <xdr:spPr>
          <a:xfrm>
            <a:off x="10413764" y="6738534"/>
            <a:ext cx="1111485" cy="38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9011706-82DA-B185-3116-1BC05B3BDFA6}"/>
                  </a:ext>
                </a:extLst>
              </xdr:cNvPr>
              <xdr:cNvSpPr txBox="1"/>
            </xdr:nvSpPr>
            <xdr:spPr>
              <a:xfrm>
                <a:off x="7220821" y="11570387"/>
                <a:ext cx="2630935" cy="671778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𝐴𝑚𝑜𝑢𝑛𝑡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𝑃𝑟𝑜𝑑𝑢𝑐𝑡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=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𝑃𝑙𝑎𝑛𝑡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𝐿𝑖𝑞𝑢𝑖𝑑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𝐹𝑢𝑒𝑙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𝐶𝑎𝑝𝑎𝑐𝑖𝑡𝑦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r>
                        <a:rPr lang="en-MY" sz="1100" b="1" i="1">
                          <a:solidFill>
                            <a:schemeClr val="accent5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𝑴𝒂𝒔𝒔</m:t>
                      </m:r>
                      <m:r>
                        <a:rPr lang="en-MY" sz="1100" b="1" i="1">
                          <a:solidFill>
                            <a:schemeClr val="accent5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chemeClr val="accent5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𝑭𝒓𝒂𝒄𝒕𝒊𝒐𝒏</m:t>
                      </m:r>
                      <m:r>
                        <a:rPr lang="en-MY" sz="1100" b="1" i="1">
                          <a:solidFill>
                            <a:schemeClr val="accent5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</m:oMath>
                  </m:oMathPara>
                </a14:m>
                <a:endParaRPr lang="en-MY" sz="1100" b="1"/>
              </a:p>
            </xdr:txBody>
          </xdr:sp>
        </mc:Choice>
        <mc:Fallback xmlns=""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9011706-82DA-B185-3116-1BC05B3BDFA6}"/>
                  </a:ext>
                </a:extLst>
              </xdr:cNvPr>
              <xdr:cNvSpPr txBox="1"/>
            </xdr:nvSpPr>
            <xdr:spPr>
              <a:xfrm>
                <a:off x="7220821" y="11570387"/>
                <a:ext cx="2630935" cy="671778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𝐴𝑚𝑜𝑢𝑛𝑡 𝑜𝑓 𝑃𝑟𝑜𝑑𝑢𝑐𝑡 =𝑃𝑙𝑎𝑛𝑡 𝑇𝑜𝑡𝑎𝑙 𝐿𝑖𝑞𝑢𝑖𝑑 𝐹𝑢𝑒𝑙 𝐶𝑎𝑝𝑎𝑐𝑖𝑡𝑦</a:t>
                </a:r>
                <a:r>
                  <a:rPr lang="en-MY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𝑴𝒂𝒔𝒔 𝑭𝒓𝒂𝒄𝒕𝒊𝒐𝒏 </a:t>
                </a:r>
                <a:endParaRPr lang="en-MY" sz="1100" b="1"/>
              </a:p>
            </xdr:txBody>
          </xdr:sp>
        </mc:Fallback>
      </mc:AlternateContent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D83F9B8-ED8D-4A9B-9AFA-9BEB9ED09BD4}"/>
              </a:ext>
            </a:extLst>
          </xdr:cNvPr>
          <xdr:cNvSpPr/>
        </xdr:nvSpPr>
        <xdr:spPr>
          <a:xfrm>
            <a:off x="14619681" y="11342177"/>
            <a:ext cx="5643541" cy="135744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14DA147E-B222-2274-22E2-C7C05A10D8C5}"/>
              </a:ext>
            </a:extLst>
          </xdr:cNvPr>
          <xdr:cNvCxnSpPr>
            <a:stCxn id="40" idx="3"/>
            <a:endCxn id="35" idx="1"/>
          </xdr:cNvCxnSpPr>
        </xdr:nvCxnSpPr>
        <xdr:spPr>
          <a:xfrm flipV="1">
            <a:off x="12954226" y="12011942"/>
            <a:ext cx="1667360" cy="19131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7000556F-A41C-9C5E-5384-1A23AD1EA81D}"/>
              </a:ext>
            </a:extLst>
          </xdr:cNvPr>
          <xdr:cNvCxnSpPr>
            <a:stCxn id="35" idx="3"/>
          </xdr:cNvCxnSpPr>
        </xdr:nvCxnSpPr>
        <xdr:spPr>
          <a:xfrm flipV="1">
            <a:off x="20267032" y="9350354"/>
            <a:ext cx="5946092" cy="265873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F6C79647-3439-4578-B060-89E6D3E75F03}"/>
                  </a:ext>
                </a:extLst>
              </xdr:cNvPr>
              <xdr:cNvSpPr txBox="1"/>
            </xdr:nvSpPr>
            <xdr:spPr>
              <a:xfrm>
                <a:off x="40629840" y="5181600"/>
                <a:ext cx="1823641" cy="324080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kumimoji="0" lang="en-MY" sz="11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𝐷𝑖𝑠𝑐𝑜𝑢𝑛𝑡</m:t>
                      </m:r>
                      <m:r>
                        <a:rPr kumimoji="0" lang="en-MY" sz="11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MY" sz="11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𝐹𝑎𝑐𝑡𝑜𝑟</m:t>
                      </m:r>
                      <m:r>
                        <a:rPr kumimoji="0" lang="en-MY" sz="11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f>
                        <m:fPr>
                          <m:ctrlPr>
                            <a:rPr kumimoji="0" lang="en-MY" sz="11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sysClr val="windowText" lastClr="000000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kumimoji="0" lang="en-MY" sz="11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sysClr val="windowText" lastClr="000000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num>
                        <m:den>
                          <m:sSup>
                            <m:sSupPr>
                              <m:ctrlPr>
                                <a:rPr kumimoji="0" lang="en-MY" sz="11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sysClr val="windowText" lastClr="000000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kumimoji="0" lang="en-MY" sz="1100" b="0" i="1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sysClr val="windowText" lastClr="000000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kumimoji="0" lang="en-MY" sz="1100" b="0" i="1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sysClr val="windowText" lastClr="000000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1+</m:t>
                                  </m:r>
                                  <m:r>
                                    <a:rPr kumimoji="0" lang="en-MY" sz="1100" b="0" i="1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sysClr val="windowText" lastClr="000000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𝑟</m:t>
                                  </m:r>
                                </m:e>
                              </m:d>
                            </m:e>
                            <m:sup>
                              <m:r>
                                <a:rPr kumimoji="0" lang="en-MY" sz="11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sysClr val="windowText" lastClr="000000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𝑡</m:t>
                              </m:r>
                            </m:sup>
                          </m:sSup>
                        </m:den>
                      </m:f>
                    </m:oMath>
                  </m:oMathPara>
                </a14:m>
                <a:endPara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ptos Narrow" panose="02110004020202020204"/>
                  <a:ea typeface="+mn-ea"/>
                  <a:cs typeface="+mn-cs"/>
                </a:endParaRP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ptos Narrow" panose="02110004020202020204"/>
                  <a:ea typeface="+mn-ea"/>
                  <a:cs typeface="+mn-cs"/>
                </a:endParaRPr>
              </a:p>
            </xdr:txBody>
          </xdr:sp>
        </mc:Choice>
        <mc:Fallback xmlns=""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F6C79647-3439-4578-B060-89E6D3E75F03}"/>
                  </a:ext>
                </a:extLst>
              </xdr:cNvPr>
              <xdr:cNvSpPr txBox="1"/>
            </xdr:nvSpPr>
            <xdr:spPr>
              <a:xfrm>
                <a:off x="40629840" y="5181600"/>
                <a:ext cx="1823641" cy="324080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MY" sz="11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𝐷𝑖𝑠𝑐𝑜𝑢𝑛𝑡 𝐹𝑎𝑐𝑡𝑜𝑟=1/(1+𝑟)^𝑡 </a:t>
                </a:r>
                <a:endPara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ptos Narrow" panose="02110004020202020204"/>
                  <a:ea typeface="+mn-ea"/>
                  <a:cs typeface="+mn-cs"/>
                </a:endParaRP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ptos Narrow" panose="02110004020202020204"/>
                  <a:ea typeface="+mn-ea"/>
                  <a:cs typeface="+mn-cs"/>
                </a:endParaRPr>
              </a:p>
            </xdr:txBody>
          </xdr:sp>
        </mc:Fallback>
      </mc:AlternateContent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231BEF99-C1D7-29FD-33C2-189235E9BD28}"/>
              </a:ext>
            </a:extLst>
          </xdr:cNvPr>
          <xdr:cNvCxnSpPr>
            <a:endCxn id="64" idx="2"/>
          </xdr:cNvCxnSpPr>
        </xdr:nvCxnSpPr>
        <xdr:spPr>
          <a:xfrm flipV="1">
            <a:off x="39742110" y="5505680"/>
            <a:ext cx="1799551" cy="107355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9759B2F9-1A62-7E1B-573E-C4F4A5CD020B}"/>
              </a:ext>
            </a:extLst>
          </xdr:cNvPr>
          <xdr:cNvSpPr/>
        </xdr:nvSpPr>
        <xdr:spPr>
          <a:xfrm>
            <a:off x="27640280" y="13637259"/>
            <a:ext cx="5285740" cy="6391391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762D2B20-2451-420B-9D3E-40245F05CBD4}"/>
              </a:ext>
            </a:extLst>
          </xdr:cNvPr>
          <xdr:cNvSpPr/>
        </xdr:nvSpPr>
        <xdr:spPr>
          <a:xfrm>
            <a:off x="1511866" y="7792796"/>
            <a:ext cx="4260593" cy="556359"/>
          </a:xfrm>
          <a:prstGeom prst="rect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MY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15640F20-F6AA-44E8-BE1F-FE96EF495468}"/>
              </a:ext>
            </a:extLst>
          </xdr:cNvPr>
          <xdr:cNvSpPr/>
        </xdr:nvSpPr>
        <xdr:spPr>
          <a:xfrm>
            <a:off x="7345447" y="4881229"/>
            <a:ext cx="3043286" cy="109413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92" name="TextBox 91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A939FAC9-8814-4FAF-9C9C-B6F26AC28E4F}"/>
                  </a:ext>
                </a:extLst>
              </xdr:cNvPr>
              <xdr:cNvSpPr txBox="1"/>
            </xdr:nvSpPr>
            <xdr:spPr>
              <a:xfrm>
                <a:off x="7552805" y="5060511"/>
                <a:ext cx="4096270" cy="165366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a:rPr lang="en-MY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𝑃𝑟𝑜𝑑𝑢𝑐𝑡𝑖𝑜𝑛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𝑃𝑙𝑎𝑛𝑡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𝐿𝑖𝑞𝑢𝑖𝑑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𝐹𝑢𝑒𝑙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𝐶𝑎𝑝𝑎𝑐𝑖𝑡𝑦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MY" sz="1100" b="1" i="0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</m:t>
                    </m:r>
                  </m:oMath>
                </a14:m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 Product Yield</a:t>
                </a:r>
                <a:endParaRPr lang="en-MY" sz="1100" b="1" i="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xdr:txBody>
          </xdr:sp>
        </mc:Choice>
        <mc:Fallback>
          <xdr:sp macro="" textlink="">
            <xdr:nvSpPr>
              <xdr:cNvPr id="92" name="TextBox 91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A939FAC9-8814-4FAF-9C9C-B6F26AC28E4F}"/>
                  </a:ext>
                </a:extLst>
              </xdr:cNvPr>
              <xdr:cNvSpPr txBox="1"/>
            </xdr:nvSpPr>
            <xdr:spPr>
              <a:xfrm>
                <a:off x="7552805" y="5060511"/>
                <a:ext cx="4096270" cy="165366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r>
                  <a:rPr lang="en-MY" sz="1100" b="0" i="0">
                    <a:solidFill>
                      <a:srgbClr val="00B050"/>
                    </a:solidFill>
                    <a:latin typeface="Cambria Math" panose="02040503050406030204" pitchFamily="18" charset="0"/>
                  </a:rPr>
                  <a:t>𝑃𝑟𝑜𝑑𝑢𝑐𝑡𝑖𝑜𝑛</a:t>
                </a:r>
                <a:r>
                  <a:rPr lang="en-MY" sz="1100" b="0" i="0">
                    <a:latin typeface="Cambria Math" panose="02040503050406030204" pitchFamily="18" charset="0"/>
                  </a:rPr>
                  <a:t>=𝑃𝑙𝑎𝑛𝑡 𝑇𝑜𝑡𝑎𝑙 𝐿𝑖𝑞𝑢𝑖𝑑 𝐹𝑢𝑒𝑙 𝐶𝑎𝑝𝑎𝑐𝑖𝑡𝑦 </a:t>
                </a:r>
                <a:r>
                  <a:rPr lang="en-MY" sz="1100" b="1" i="0">
                    <a:solidFill>
                      <a:schemeClr val="accent5">
                        <a:lumMod val="50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×  Product Yield</a:t>
                </a:r>
                <a:endParaRPr lang="en-MY" sz="1100" b="1" i="0"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xdr:txBody>
          </xdr:sp>
        </mc:Fallback>
      </mc:AlternateContent>
      <xdr:cxnSp macro="">
        <xdr:nvCxnSpPr>
          <xdr:cNvPr id="93" name="Straight Arrow Connector 92">
            <a:extLst>
              <a:ext uri="{FF2B5EF4-FFF2-40B4-BE49-F238E27FC236}">
                <a16:creationId xmlns:a16="http://schemas.microsoft.com/office/drawing/2014/main" id="{DCD0E3AE-2680-46E8-B71B-9728DF39D63F}"/>
              </a:ext>
            </a:extLst>
          </xdr:cNvPr>
          <xdr:cNvCxnSpPr>
            <a:stCxn id="6" idx="3"/>
            <a:endCxn id="91" idx="1"/>
          </xdr:cNvCxnSpPr>
        </xdr:nvCxnSpPr>
        <xdr:spPr>
          <a:xfrm flipV="1">
            <a:off x="5793099" y="5435137"/>
            <a:ext cx="1552348" cy="27301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926B88D6-DE4A-4F2D-905A-9F7E587DD0C5}"/>
              </a:ext>
            </a:extLst>
          </xdr:cNvPr>
          <xdr:cNvCxnSpPr/>
        </xdr:nvCxnSpPr>
        <xdr:spPr>
          <a:xfrm>
            <a:off x="10701153" y="5526577"/>
            <a:ext cx="15866756" cy="389248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Straight Arrow Connector 94">
            <a:extLst>
              <a:ext uri="{FF2B5EF4-FFF2-40B4-BE49-F238E27FC236}">
                <a16:creationId xmlns:a16="http://schemas.microsoft.com/office/drawing/2014/main" id="{D6994DA2-E93D-4DAB-8509-84D81574B805}"/>
              </a:ext>
            </a:extLst>
          </xdr:cNvPr>
          <xdr:cNvCxnSpPr>
            <a:stCxn id="5" idx="3"/>
          </xdr:cNvCxnSpPr>
        </xdr:nvCxnSpPr>
        <xdr:spPr>
          <a:xfrm>
            <a:off x="10409856" y="6943185"/>
            <a:ext cx="15804665" cy="239467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02C6714C-DD6E-4693-B07D-545DDC395D79}"/>
              </a:ext>
            </a:extLst>
          </xdr:cNvPr>
          <xdr:cNvSpPr/>
        </xdr:nvSpPr>
        <xdr:spPr>
          <a:xfrm>
            <a:off x="7376334" y="7925265"/>
            <a:ext cx="4976210" cy="944415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98" name="TextBox 97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AABC61D7-CBC8-42E7-9A7B-D8B761C6D1EA}"/>
                  </a:ext>
                </a:extLst>
              </xdr:cNvPr>
              <xdr:cNvSpPr txBox="1"/>
            </xdr:nvSpPr>
            <xdr:spPr>
              <a:xfrm>
                <a:off x="7388961" y="8218089"/>
                <a:ext cx="5496163" cy="523413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𝑪𝒂𝒓𝒃𝒐𝒏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𝑰𝒏𝒕𝒆𝒏𝒔𝒊𝒕𝒚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𝒐𝒇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𝒇𝒆𝒆𝒅𝒔𝒕𝒐𝒄𝒌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𝑭𝒆𝒆𝒅𝒔𝒕𝒐𝒄𝒌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𝑪𝒂𝒓𝒃𝒐𝒏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𝑰𝒏𝒕𝒆𝒏𝒔𝒊𝒕𝒚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×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𝑭𝒆𝒆𝒅𝒔𝒕𝒐𝒄𝒌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𝒀𝒊𝒆𝒍𝒅</m:t>
                          </m:r>
                        </m:num>
                        <m:den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𝑭𝒖𝒆𝒍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𝑬𝒏𝒆𝒓𝒈𝒚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𝑪𝒐𝒏𝒕𝒆𝒏𝒕</m:t>
                          </m:r>
                        </m:den>
                      </m:f>
                    </m:oMath>
                  </m:oMathPara>
                </a14:m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Choice>
        <mc:Fallback>
          <xdr:sp macro="" textlink="">
            <xdr:nvSpPr>
              <xdr:cNvPr id="98" name="TextBox 97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AABC61D7-CBC8-42E7-9A7B-D8B761C6D1EA}"/>
                  </a:ext>
                </a:extLst>
              </xdr:cNvPr>
              <xdr:cNvSpPr txBox="1"/>
            </xdr:nvSpPr>
            <xdr:spPr>
              <a:xfrm>
                <a:off x="7388961" y="8218089"/>
                <a:ext cx="5496163" cy="523413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𝑪𝒂𝒓𝒃𝒐𝒏 𝑰𝒏𝒕𝒆𝒏𝒔𝒊𝒕𝒚 𝒐𝒇 𝒇𝒆𝒆𝒅𝒔𝒕𝒐𝒄𝒌=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(𝑭𝒆𝒆𝒅𝒔𝒕𝒐𝒄𝒌 𝑪𝒂𝒓𝒃𝒐𝒏 𝑰𝒏𝒕𝒆𝒏𝒔𝒊𝒕𝒚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×</a:t>
                </a:r>
                <a:r>
                  <a:rPr lang="en-MY" sz="1100" b="1" i="0">
                    <a:solidFill>
                      <a:srgbClr val="7030A0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𝑭𝒆𝒆𝒅𝒔𝒕𝒐𝒄𝒌 𝒀𝒊𝒆𝒍𝒅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)/(</a:t>
                </a:r>
                <a:r>
                  <a:rPr lang="en-MY" sz="11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𝑭𝒖𝒆𝒍 𝑬𝒏𝒆𝒓𝒈𝒚 𝑪𝒐𝒏𝒕𝒆𝒏𝒕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</a:t>
                </a:r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Fallback>
      </mc:AlternateContent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0FAA06DB-CD6B-4CA0-8FEE-15BEE8E720E5}"/>
              </a:ext>
            </a:extLst>
          </xdr:cNvPr>
          <xdr:cNvCxnSpPr>
            <a:stCxn id="88" idx="3"/>
          </xdr:cNvCxnSpPr>
        </xdr:nvCxnSpPr>
        <xdr:spPr>
          <a:xfrm>
            <a:off x="5772459" y="8063325"/>
            <a:ext cx="1620471" cy="26536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91C6D52D-7896-45EF-AA5D-1B54E0937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104774" y="9314434"/>
            <a:ext cx="2881801" cy="763734"/>
          </a:xfrm>
          <a:prstGeom prst="rect">
            <a:avLst/>
          </a:prstGeom>
        </xdr:spPr>
      </xdr:pic>
      <xdr:cxnSp macro="">
        <xdr:nvCxnSpPr>
          <xdr:cNvPr id="102" name="Straight Arrow Connector 101">
            <a:extLst>
              <a:ext uri="{FF2B5EF4-FFF2-40B4-BE49-F238E27FC236}">
                <a16:creationId xmlns:a16="http://schemas.microsoft.com/office/drawing/2014/main" id="{57221A9D-0034-47AB-A0FF-B4573FF654A6}"/>
              </a:ext>
            </a:extLst>
          </xdr:cNvPr>
          <xdr:cNvCxnSpPr>
            <a:stCxn id="96" idx="3"/>
            <a:endCxn id="101" idx="1"/>
          </xdr:cNvCxnSpPr>
        </xdr:nvCxnSpPr>
        <xdr:spPr>
          <a:xfrm>
            <a:off x="12352544" y="8393280"/>
            <a:ext cx="752230" cy="129921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03" name="TextBox 102">
                <a:extLst>
                  <a:ext uri="{FF2B5EF4-FFF2-40B4-BE49-F238E27FC236}">
                    <a16:creationId xmlns:a16="http://schemas.microsoft.com/office/drawing/2014/main" id="{85D46AF9-DED4-49CE-9D2C-9FC710EC98EC}"/>
                  </a:ext>
                </a:extLst>
              </xdr:cNvPr>
              <xdr:cNvSpPr txBox="1"/>
            </xdr:nvSpPr>
            <xdr:spPr>
              <a:xfrm>
                <a:off x="13117207" y="9434121"/>
                <a:ext cx="3135181" cy="710048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=(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𝐹𝑒𝑒𝑑𝑠𝑡𝑜𝑐𝑘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𝐶𝑜𝑛𝑣𝑒𝑟𝑠𝑖𝑜𝑛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𝑃𝑟𝑜𝑐𝑒𝑠𝑠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)/1000</m:t>
                      </m:r>
                    </m:oMath>
                  </m:oMathPara>
                </a14:m>
                <a:endParaRPr lang="en-MY" sz="1100"/>
              </a:p>
            </xdr:txBody>
          </xdr:sp>
        </mc:Choice>
        <mc:Fallback xmlns="">
          <xdr:sp macro="" textlink="">
            <xdr:nvSpPr>
              <xdr:cNvPr id="103" name="TextBox 102">
                <a:extLst>
                  <a:ext uri="{FF2B5EF4-FFF2-40B4-BE49-F238E27FC236}">
                    <a16:creationId xmlns:a16="http://schemas.microsoft.com/office/drawing/2014/main" id="{85D46AF9-DED4-49CE-9D2C-9FC710EC98EC}"/>
                  </a:ext>
                </a:extLst>
              </xdr:cNvPr>
              <xdr:cNvSpPr txBox="1"/>
            </xdr:nvSpPr>
            <xdr:spPr>
              <a:xfrm>
                <a:off x="13117207" y="9434121"/>
                <a:ext cx="3135181" cy="710048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𝑇𝑜𝑡𝑎𝑙 𝐶𝑎𝑟𝑏𝑜𝑛 𝐼𝑛𝑡𝑒𝑛𝑠𝑖𝑡𝑦=(𝐶𝑎𝑟𝑏𝑜𝑛 𝐼𝑛𝑡𝑒𝑛𝑠𝑖𝑡𝑦 𝑜𝑓 𝐹𝑒𝑒𝑑𝑠𝑡𝑜𝑐𝑘+</a:t>
                </a:r>
                <a:r>
                  <a:rPr lang="en-MY" sz="1100" b="0" i="0">
                    <a:solidFill>
                      <a:srgbClr val="7030A0"/>
                    </a:solidFill>
                    <a:latin typeface="Cambria Math" panose="02040503050406030204" pitchFamily="18" charset="0"/>
                  </a:rPr>
                  <a:t>𝐶𝑜𝑛𝑣𝑒𝑟𝑠𝑖𝑜𝑛 𝑃𝑟𝑜𝑐𝑒𝑠𝑠 𝐶𝑎𝑟𝑏𝑜𝑛 𝐼𝑛𝑡𝑒𝑛𝑠𝑖𝑡𝑦</a:t>
                </a:r>
                <a:r>
                  <a:rPr lang="en-MY" sz="1100" b="0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)/1000</a:t>
                </a:r>
                <a:endParaRPr lang="en-MY" sz="1100"/>
              </a:p>
            </xdr:txBody>
          </xdr:sp>
        </mc:Fallback>
      </mc:AlternateContent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C86FE9B0-D958-42F7-93B4-FE9D6DA60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1842" y="9313823"/>
            <a:ext cx="2910959" cy="985412"/>
          </a:xfrm>
          <a:prstGeom prst="rect">
            <a:avLst/>
          </a:prstGeom>
        </xdr:spPr>
      </xdr:pic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05" name="TextBox 104">
                <a:extLst>
                  <a:ext uri="{FF2B5EF4-FFF2-40B4-BE49-F238E27FC236}">
                    <a16:creationId xmlns:a16="http://schemas.microsoft.com/office/drawing/2014/main" id="{18A2EC0B-E26E-4135-AD8F-9EB88701F25E}"/>
                  </a:ext>
                </a:extLst>
              </xdr:cNvPr>
              <xdr:cNvSpPr txBox="1"/>
            </xdr:nvSpPr>
            <xdr:spPr>
              <a:xfrm>
                <a:off x="17239045" y="9464724"/>
                <a:ext cx="2882711" cy="466186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𝑃𝑟𝑜𝑑𝑢𝑐𝑡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𝑌𝑖𝑒𝑙𝑑</m:t>
                      </m:r>
                    </m:oMath>
                  </m:oMathPara>
                </a14:m>
                <a:endParaRPr lang="en-MY" sz="1100"/>
              </a:p>
            </xdr:txBody>
          </xdr:sp>
        </mc:Choice>
        <mc:Fallback xmlns="">
          <xdr:sp macro="" textlink="">
            <xdr:nvSpPr>
              <xdr:cNvPr id="105" name="TextBox 104">
                <a:extLst>
                  <a:ext uri="{FF2B5EF4-FFF2-40B4-BE49-F238E27FC236}">
                    <a16:creationId xmlns:a16="http://schemas.microsoft.com/office/drawing/2014/main" id="{18A2EC0B-E26E-4135-AD8F-9EB88701F25E}"/>
                  </a:ext>
                </a:extLst>
              </xdr:cNvPr>
              <xdr:cNvSpPr txBox="1"/>
            </xdr:nvSpPr>
            <xdr:spPr>
              <a:xfrm>
                <a:off x="17239045" y="9464724"/>
                <a:ext cx="2882711" cy="466186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𝐶𝑎𝑟𝑏𝑜𝑛 𝐼𝑛𝑡𝑒𝑛𝑠𝑖𝑡𝑦=𝑇𝑜𝑡𝑎𝑙 𝐶𝑎𝑟𝑏𝑜𝑛 𝐼𝑛𝑡𝑒𝑛𝑠𝑖𝑡𝑦</a:t>
                </a:r>
                <a:r>
                  <a:rPr lang="en-MY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</a:t>
                </a:r>
                <a:r>
                  <a:rPr lang="en-MY" sz="1100" b="0" i="0">
                    <a:solidFill>
                      <a:srgbClr val="7030A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𝑃𝑟𝑜𝑑𝑢𝑐𝑡 𝑌𝑖𝑒𝑙𝑑</a:t>
                </a:r>
                <a:endParaRPr lang="en-MY" sz="1100"/>
              </a:p>
            </xdr:txBody>
          </xdr:sp>
        </mc:Fallback>
      </mc:AlternateContent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CF7C5796-C29C-41ED-88D7-BEFBD7330833}"/>
              </a:ext>
            </a:extLst>
          </xdr:cNvPr>
          <xdr:cNvCxnSpPr>
            <a:stCxn id="101" idx="3"/>
            <a:endCxn id="104" idx="1"/>
          </xdr:cNvCxnSpPr>
        </xdr:nvCxnSpPr>
        <xdr:spPr>
          <a:xfrm>
            <a:off x="15986575" y="9692492"/>
            <a:ext cx="1155267" cy="10842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7" name="Straight Arrow Connector 106">
            <a:extLst>
              <a:ext uri="{FF2B5EF4-FFF2-40B4-BE49-F238E27FC236}">
                <a16:creationId xmlns:a16="http://schemas.microsoft.com/office/drawing/2014/main" id="{A9F1CD04-6E7B-4033-AAA4-14975585BD4D}"/>
              </a:ext>
            </a:extLst>
          </xdr:cNvPr>
          <xdr:cNvCxnSpPr>
            <a:stCxn id="104" idx="3"/>
          </xdr:cNvCxnSpPr>
        </xdr:nvCxnSpPr>
        <xdr:spPr>
          <a:xfrm flipV="1">
            <a:off x="20047086" y="9334898"/>
            <a:ext cx="6113016" cy="46601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C570F34F-E8E9-490E-96C6-DDC43DFEBD3F}"/>
              </a:ext>
            </a:extLst>
          </xdr:cNvPr>
          <xdr:cNvSpPr/>
        </xdr:nvSpPr>
        <xdr:spPr>
          <a:xfrm>
            <a:off x="1490641" y="10585345"/>
            <a:ext cx="4260593" cy="564745"/>
          </a:xfrm>
          <a:prstGeom prst="rect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MY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2B168265-D4A2-4641-B6DD-71508ADAC427}"/>
              </a:ext>
            </a:extLst>
          </xdr:cNvPr>
          <xdr:cNvSpPr/>
        </xdr:nvSpPr>
        <xdr:spPr>
          <a:xfrm>
            <a:off x="7390293" y="10293939"/>
            <a:ext cx="4512075" cy="1109225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1" name="TextBox 110">
                <a:extLst>
                  <a:ext uri="{FF2B5EF4-FFF2-40B4-BE49-F238E27FC236}">
                    <a16:creationId xmlns:a16="http://schemas.microsoft.com/office/drawing/2014/main" id="{0DED9F7B-99BA-412C-A2E6-11797E4E9C50}"/>
                  </a:ext>
                </a:extLst>
              </xdr:cNvPr>
              <xdr:cNvSpPr txBox="1"/>
            </xdr:nvSpPr>
            <xdr:spPr>
              <a:xfrm>
                <a:off x="6815849" y="10488333"/>
                <a:ext cx="5496163" cy="492635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𝑪𝒂𝒓𝒃𝒐𝒏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𝑪𝒐𝒏𝒗𝒆𝒓𝒔𝒊𝒐𝒏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𝑬𝒇𝒇𝒊𝒄𝒊𝒆𝒏𝒄𝒚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𝑷𝒓𝒐𝒅𝒖𝒄𝒕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𝑪𝒂𝒓𝒃𝒐𝒏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rgbClr val="7030A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𝑪𝒐𝒏𝒕𝒆𝒏𝒕</m:t>
                          </m:r>
                        </m:num>
                        <m:den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𝑭𝒆𝒆𝒅𝒔𝒕𝒐𝒄𝒌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𝑪𝒂𝒓𝒃𝒐𝒏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en-MY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𝑪𝒐𝒏𝒕𝒆𝒏𝒕</m:t>
                          </m:r>
                        </m:den>
                      </m:f>
                      <m:r>
                        <a:rPr lang="en-MY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×</m:t>
                      </m:r>
                      <m:r>
                        <a:rPr lang="en-MY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𝟏𝟎𝟎</m:t>
                      </m:r>
                      <m:r>
                        <a:rPr lang="en-MY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%</m:t>
                      </m:r>
                    </m:oMath>
                  </m:oMathPara>
                </a14:m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Choice>
        <mc:Fallback xmlns="">
          <xdr:sp macro="" textlink="">
            <xdr:nvSpPr>
              <xdr:cNvPr id="111" name="TextBox 110">
                <a:extLst>
                  <a:ext uri="{FF2B5EF4-FFF2-40B4-BE49-F238E27FC236}">
                    <a16:creationId xmlns:a16="http://schemas.microsoft.com/office/drawing/2014/main" id="{0DED9F7B-99BA-412C-A2E6-11797E4E9C50}"/>
                  </a:ext>
                </a:extLst>
              </xdr:cNvPr>
              <xdr:cNvSpPr txBox="1"/>
            </xdr:nvSpPr>
            <xdr:spPr>
              <a:xfrm>
                <a:off x="6815849" y="10488333"/>
                <a:ext cx="5496163" cy="492635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𝑪𝒂𝒓𝒃𝒐𝒏 𝑪𝒐𝒏𝒗𝒆𝒓𝒔𝒊𝒐𝒏 𝑬𝒇𝒇𝒊𝒄𝒊𝒆𝒏𝒄𝒚=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lang="en-MY" sz="1100" b="1" i="0">
                    <a:solidFill>
                      <a:srgbClr val="7030A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𝑷𝒓𝒐𝒅𝒖𝒄𝒕 𝑪𝒂𝒓𝒃𝒐𝒏 𝑪𝒐𝒏𝒕𝒆𝒏𝒕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)/(𝑭𝒆𝒆𝒅𝒔𝒕𝒐𝒄𝒌 𝑪𝒂𝒓𝒃𝒐𝒏 𝑪𝒐𝒏𝒕𝒆𝒏𝒕)</a:t>
                </a:r>
                <a:r>
                  <a:rPr lang="en-MY" sz="11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×𝟏𝟎𝟎%</a:t>
                </a:r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Fallback>
      </mc:AlternateContent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1B5AEA8E-ED5E-4CFA-8FDB-678DD16694D6}"/>
              </a:ext>
            </a:extLst>
          </xdr:cNvPr>
          <xdr:cNvCxnSpPr>
            <a:stCxn id="108" idx="3"/>
          </xdr:cNvCxnSpPr>
        </xdr:nvCxnSpPr>
        <xdr:spPr>
          <a:xfrm>
            <a:off x="5751234" y="10865715"/>
            <a:ext cx="1634800" cy="198526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3" name="Straight Arrow Connector 112">
            <a:extLst>
              <a:ext uri="{FF2B5EF4-FFF2-40B4-BE49-F238E27FC236}">
                <a16:creationId xmlns:a16="http://schemas.microsoft.com/office/drawing/2014/main" id="{844BE43C-BAD9-42CD-8FDA-C32A83169351}"/>
              </a:ext>
            </a:extLst>
          </xdr:cNvPr>
          <xdr:cNvCxnSpPr/>
        </xdr:nvCxnSpPr>
        <xdr:spPr>
          <a:xfrm flipV="1">
            <a:off x="11911312" y="9333821"/>
            <a:ext cx="14258057" cy="1565426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pic>
        <xdr:nvPicPr>
          <xdr:cNvPr id="114" name="Picture 113">
            <a:extLst>
              <a:ext uri="{FF2B5EF4-FFF2-40B4-BE49-F238E27FC236}">
                <a16:creationId xmlns:a16="http://schemas.microsoft.com/office/drawing/2014/main" id="{005E4C78-A7C9-4A2C-841B-D5F9EB5275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0941217" y="10221543"/>
            <a:ext cx="2895495" cy="960647"/>
          </a:xfrm>
          <a:prstGeom prst="rect">
            <a:avLst/>
          </a:prstGeom>
        </xdr:spPr>
      </xdr:pic>
      <xdr:cxnSp macro="">
        <xdr:nvCxnSpPr>
          <xdr:cNvPr id="115" name="Straight Arrow Connector 114">
            <a:extLst>
              <a:ext uri="{FF2B5EF4-FFF2-40B4-BE49-F238E27FC236}">
                <a16:creationId xmlns:a16="http://schemas.microsoft.com/office/drawing/2014/main" id="{AE277279-ED7D-4CBB-A8F3-07051E0DC18B}"/>
              </a:ext>
            </a:extLst>
          </xdr:cNvPr>
          <xdr:cNvCxnSpPr>
            <a:stCxn id="104" idx="3"/>
          </xdr:cNvCxnSpPr>
        </xdr:nvCxnSpPr>
        <xdr:spPr>
          <a:xfrm>
            <a:off x="20047086" y="9800913"/>
            <a:ext cx="904193" cy="70173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7F8B22F9-5007-4C3C-8945-19F4ACFA9657}"/>
                  </a:ext>
                </a:extLst>
              </xdr:cNvPr>
              <xdr:cNvSpPr txBox="1"/>
            </xdr:nvSpPr>
            <xdr:spPr>
              <a:xfrm>
                <a:off x="20999933" y="10422010"/>
                <a:ext cx="2882711" cy="5993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𝐶𝑂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2 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𝐸𝑚𝑖𝑠𝑠𝑖𝑜𝑛𝑠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𝐶𝑎𝑟𝑏𝑜𝑛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latin typeface="Cambria Math" panose="02040503050406030204" pitchFamily="18" charset="0"/>
                        </a:rPr>
                        <m:t>𝐼𝑛𝑡𝑒𝑛𝑠𝑖𝑡𝑦</m:t>
                      </m:r>
                      <m:r>
                        <a:rPr lang="en-MY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𝑃𝑟𝑜𝑑𝑢𝑐𝑡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𝐸𝑛𝑒𝑟𝑔𝑦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0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𝐶𝑜𝑛𝑡𝑒𝑛𝑡</m:t>
                      </m:r>
                      <m:r>
                        <a:rPr lang="en-MY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r>
                        <a:rPr lang="en-MY" sz="1100" b="0" i="1">
                          <a:solidFill>
                            <a:srgbClr val="00B05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𝑃𝑟𝑜𝑑𝑢𝑐𝑡𝑖𝑜𝑛</m:t>
                      </m:r>
                      <m:r>
                        <a:rPr lang="en-MY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×1000</m:t>
                      </m:r>
                    </m:oMath>
                  </m:oMathPara>
                </a14:m>
                <a:endParaRPr lang="en-MY" sz="1100"/>
              </a:p>
            </xdr:txBody>
          </xdr:sp>
        </mc:Choice>
        <mc:Fallback xmlns=""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7F8B22F9-5007-4C3C-8945-19F4ACFA9657}"/>
                  </a:ext>
                </a:extLst>
              </xdr:cNvPr>
              <xdr:cNvSpPr txBox="1"/>
            </xdr:nvSpPr>
            <xdr:spPr>
              <a:xfrm>
                <a:off x="20999933" y="10422010"/>
                <a:ext cx="2882711" cy="5993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MY" sz="1100" b="0" i="0">
                    <a:latin typeface="Cambria Math" panose="02040503050406030204" pitchFamily="18" charset="0"/>
                  </a:rPr>
                  <a:t>𝑇𝑜𝑡𝑎𝑙 𝐶𝑂2 𝐸𝑚𝑖𝑠𝑠𝑖𝑜𝑛𝑠=𝐶𝑎𝑟𝑏𝑜𝑛 𝐼𝑛𝑡𝑒𝑛𝑠𝑖𝑡𝑦</a:t>
                </a:r>
                <a:r>
                  <a:rPr lang="en-MY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</a:t>
                </a:r>
                <a:r>
                  <a:rPr lang="en-MY" sz="1100" b="0" i="0">
                    <a:solidFill>
                      <a:srgbClr val="7030A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𝑃𝑟𝑜𝑑𝑢𝑐𝑡 𝐸𝑛𝑒𝑟𝑔𝑦 𝐶𝑜𝑛𝑡𝑒𝑛𝑡</a:t>
                </a:r>
                <a:r>
                  <a:rPr lang="en-MY" sz="1100" b="0" i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×</a:t>
                </a:r>
                <a:r>
                  <a:rPr lang="en-MY" sz="1100" b="0" i="0">
                    <a:solidFill>
                      <a:srgbClr val="00B05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𝑃𝑟𝑜𝑑𝑢𝑐𝑡𝑖𝑜𝑛</a:t>
                </a:r>
                <a:r>
                  <a:rPr lang="en-MY" sz="1100" b="0" i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×1000</a:t>
                </a:r>
                <a:endParaRPr lang="en-MY" sz="1100"/>
              </a:p>
            </xdr:txBody>
          </xdr:sp>
        </mc:Fallback>
      </mc:AlternateContent>
      <xdr:cxnSp macro="">
        <xdr:nvCxnSpPr>
          <xdr:cNvPr id="121" name="Straight Arrow Connector 120">
            <a:extLst>
              <a:ext uri="{FF2B5EF4-FFF2-40B4-BE49-F238E27FC236}">
                <a16:creationId xmlns:a16="http://schemas.microsoft.com/office/drawing/2014/main" id="{C76E303B-86D7-4DE5-8BBC-EB387247326A}"/>
              </a:ext>
            </a:extLst>
          </xdr:cNvPr>
          <xdr:cNvCxnSpPr>
            <a:stCxn id="114" idx="3"/>
          </xdr:cNvCxnSpPr>
        </xdr:nvCxnSpPr>
        <xdr:spPr>
          <a:xfrm flipV="1">
            <a:off x="23829092" y="9351707"/>
            <a:ext cx="2346153" cy="135121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631A95B8-526D-4BC5-8470-488C8D95EB09}"/>
              </a:ext>
            </a:extLst>
          </xdr:cNvPr>
          <xdr:cNvSpPr/>
        </xdr:nvSpPr>
        <xdr:spPr>
          <a:xfrm>
            <a:off x="7373425" y="9140900"/>
            <a:ext cx="4976210" cy="945344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5" name="TextBox 124">
                <a:extLst>
                  <a:ext uri="{FF2B5EF4-FFF2-40B4-BE49-F238E27FC236}">
                    <a16:creationId xmlns:a16="http://schemas.microsoft.com/office/drawing/2014/main" id="{3A635393-BC1B-47BA-9B5E-0E3EED83FF15}"/>
                  </a:ext>
                </a:extLst>
              </xdr:cNvPr>
              <xdr:cNvSpPr txBox="1"/>
            </xdr:nvSpPr>
            <xdr:spPr>
              <a:xfrm>
                <a:off x="7089033" y="9359348"/>
                <a:ext cx="5496163" cy="344453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𝑭𝒖𝒆𝒍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𝑬𝒏𝒆𝒓𝒈𝒚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𝑪𝒐𝒏𝒕𝒆𝒏𝒕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𝑷𝒓𝒐𝒅𝒖𝒄𝒕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𝑬𝒏𝒆𝒓𝒈𝒚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𝑪𝒐𝒏𝒕𝒆𝒏𝒕</m:t>
                      </m:r>
                      <m:r>
                        <a:rPr lang="en-MY" sz="1100" b="1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×</m:t>
                      </m:r>
                      <m:r>
                        <a:rPr lang="en-MY" sz="1100" b="1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𝑴𝒂𝒔𝒔</m:t>
                      </m:r>
                      <m:r>
                        <a:rPr lang="en-MY" sz="1100" b="1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MY" sz="1100" b="1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𝑭𝒓𝒂𝒄𝒕𝒊𝒐𝒏</m:t>
                      </m:r>
                    </m:oMath>
                  </m:oMathPara>
                </a14:m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Choice>
        <mc:Fallback xmlns="">
          <xdr:sp macro="" textlink="">
            <xdr:nvSpPr>
              <xdr:cNvPr id="125" name="TextBox 124">
                <a:extLst>
                  <a:ext uri="{FF2B5EF4-FFF2-40B4-BE49-F238E27FC236}">
                    <a16:creationId xmlns:a16="http://schemas.microsoft.com/office/drawing/2014/main" id="{3A635393-BC1B-47BA-9B5E-0E3EED83FF15}"/>
                  </a:ext>
                </a:extLst>
              </xdr:cNvPr>
              <xdr:cNvSpPr txBox="1"/>
            </xdr:nvSpPr>
            <xdr:spPr>
              <a:xfrm>
                <a:off x="7089033" y="9359348"/>
                <a:ext cx="5496163" cy="344453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MY" sz="11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𝑭𝒖𝒆𝒍 𝑬𝒏𝒆𝒓𝒈𝒚 𝑪𝒐𝒏𝒕𝒆𝒏𝒕=𝑷𝒓𝒐𝒅𝒖𝒄𝒕 𝑬𝒏𝒆𝒓𝒈𝒚 𝑪𝒐𝒏𝒕𝒆𝒏𝒕 ×</a:t>
                </a:r>
                <a:r>
                  <a:rPr lang="en-MY" sz="1100" b="1" i="0">
                    <a:solidFill>
                      <a:srgbClr val="7030A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𝑴𝒂𝒔𝒔 𝑭𝒓𝒂𝒄𝒕𝒊𝒐𝒏</a:t>
                </a:r>
                <a:endParaRPr lang="en-MY" sz="1100" b="1">
                  <a:solidFill>
                    <a:sysClr val="windowText" lastClr="000000"/>
                  </a:solidFill>
                  <a:ea typeface="Cambria Math" panose="02040503050406030204" pitchFamily="18" charset="0"/>
                </a:endParaRPr>
              </a:p>
              <a:p>
                <a:endParaRPr lang="en-MY" sz="1100" b="1"/>
              </a:p>
            </xdr:txBody>
          </xdr:sp>
        </mc:Fallback>
      </mc:AlternateContent>
      <xdr:cxnSp macro="">
        <xdr:nvCxnSpPr>
          <xdr:cNvPr id="126" name="Straight Arrow Connector 125">
            <a:extLst>
              <a:ext uri="{FF2B5EF4-FFF2-40B4-BE49-F238E27FC236}">
                <a16:creationId xmlns:a16="http://schemas.microsoft.com/office/drawing/2014/main" id="{F16A1913-A1D9-4568-AF61-B4D2213DEA6D}"/>
              </a:ext>
            </a:extLst>
          </xdr:cNvPr>
          <xdr:cNvCxnSpPr>
            <a:stCxn id="124" idx="0"/>
            <a:endCxn id="96" idx="2"/>
          </xdr:cNvCxnSpPr>
        </xdr:nvCxnSpPr>
        <xdr:spPr>
          <a:xfrm flipV="1">
            <a:off x="9953471" y="8869680"/>
            <a:ext cx="2909" cy="27122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DFC4FD85-67B1-45E1-9C45-0415A3EAEC82}"/>
              </a:ext>
            </a:extLst>
          </xdr:cNvPr>
          <xdr:cNvSpPr/>
        </xdr:nvSpPr>
        <xdr:spPr>
          <a:xfrm>
            <a:off x="1485393" y="9220420"/>
            <a:ext cx="4260593" cy="565302"/>
          </a:xfrm>
          <a:prstGeom prst="rect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MY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cxnSp macro="">
        <xdr:nvCxnSpPr>
          <xdr:cNvPr id="131" name="Straight Arrow Connector 130">
            <a:extLst>
              <a:ext uri="{FF2B5EF4-FFF2-40B4-BE49-F238E27FC236}">
                <a16:creationId xmlns:a16="http://schemas.microsoft.com/office/drawing/2014/main" id="{F3495609-9231-43FE-AE2D-58C4D310D2AE}"/>
              </a:ext>
            </a:extLst>
          </xdr:cNvPr>
          <xdr:cNvCxnSpPr>
            <a:stCxn id="130" idx="3"/>
            <a:endCxn id="125" idx="1"/>
          </xdr:cNvCxnSpPr>
        </xdr:nvCxnSpPr>
        <xdr:spPr>
          <a:xfrm>
            <a:off x="5745986" y="9498309"/>
            <a:ext cx="1343047" cy="25646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76200</xdr:colOff>
      <xdr:row>35</xdr:row>
      <xdr:rowOff>63014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4BB91-0CAE-18A8-16ED-D382FAF11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0975"/>
          <a:ext cx="4953000" cy="7502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AA5D-48A6-485A-9004-4B722F09CBB9}">
  <sheetPr>
    <pageSetUpPr fitToPage="1"/>
  </sheetPr>
  <dimension ref="A2:BB88"/>
  <sheetViews>
    <sheetView tabSelected="1" topLeftCell="A34" zoomScale="85" zoomScaleNormal="85" zoomScaleSheetLayoutView="33" workbookViewId="0">
      <selection activeCell="O68" sqref="O68"/>
    </sheetView>
  </sheetViews>
  <sheetFormatPr defaultColWidth="8.88671875" defaultRowHeight="14.4" x14ac:dyDescent="0.3"/>
  <cols>
    <col min="1" max="1" width="13.88671875" style="1" customWidth="1"/>
    <col min="2" max="2" width="13.33203125" style="1" customWidth="1"/>
    <col min="3" max="3" width="12" style="1" customWidth="1"/>
    <col min="4" max="4" width="12.6640625" style="1" customWidth="1"/>
    <col min="5" max="5" width="10.5546875" style="1" customWidth="1"/>
    <col min="6" max="6" width="9.44140625" style="1" customWidth="1"/>
    <col min="7" max="8" width="10.6640625" style="1" customWidth="1"/>
    <col min="9" max="9" width="8.88671875" style="1"/>
    <col min="10" max="10" width="12.33203125" style="1" customWidth="1"/>
    <col min="11" max="11" width="12.5546875" style="1" customWidth="1"/>
    <col min="12" max="12" width="20" style="1" customWidth="1"/>
    <col min="13" max="13" width="8.88671875" style="1"/>
    <col min="14" max="14" width="11.33203125" style="1" customWidth="1"/>
    <col min="15" max="25" width="8.88671875" style="1"/>
    <col min="26" max="26" width="15.88671875" style="1" customWidth="1"/>
    <col min="27" max="38" width="8.88671875" style="1"/>
    <col min="39" max="39" width="6.88671875" style="1" customWidth="1"/>
    <col min="40" max="40" width="12.5546875" style="1" customWidth="1"/>
    <col min="41" max="41" width="11.33203125" style="1" customWidth="1"/>
    <col min="42" max="42" width="13.33203125" style="1" customWidth="1"/>
    <col min="43" max="43" width="15.5546875" style="1" customWidth="1"/>
    <col min="44" max="44" width="13.33203125" style="1" customWidth="1"/>
    <col min="45" max="45" width="16.109375" style="1" customWidth="1"/>
    <col min="46" max="46" width="16.88671875" style="1" customWidth="1"/>
    <col min="47" max="47" width="17.33203125" style="1" customWidth="1"/>
    <col min="48" max="48" width="19" style="1" customWidth="1"/>
    <col min="49" max="49" width="13" style="1" customWidth="1"/>
    <col min="50" max="50" width="13.109375" style="1" customWidth="1"/>
    <col min="51" max="51" width="12.88671875" style="1" customWidth="1"/>
    <col min="52" max="52" width="13.6640625" style="1" customWidth="1"/>
    <col min="53" max="53" width="8.88671875" style="1"/>
    <col min="54" max="54" width="13.6640625" style="1" customWidth="1"/>
    <col min="55" max="16384" width="8.88671875" style="1"/>
  </cols>
  <sheetData>
    <row r="2" spans="1:52" x14ac:dyDescent="0.3">
      <c r="A2" s="9"/>
      <c r="B2" s="9"/>
      <c r="C2" s="9"/>
      <c r="D2" s="9"/>
      <c r="E2" s="9"/>
      <c r="F2" s="9"/>
      <c r="G2" s="9"/>
      <c r="H2" s="9"/>
    </row>
    <row r="3" spans="1:52" x14ac:dyDescent="0.3">
      <c r="A3" s="9"/>
      <c r="B3" s="9"/>
      <c r="C3" s="9"/>
      <c r="D3" s="9"/>
      <c r="E3" s="9"/>
      <c r="F3" s="9"/>
      <c r="G3" s="9"/>
      <c r="H3" s="9"/>
    </row>
    <row r="4" spans="1:52" x14ac:dyDescent="0.3">
      <c r="A4" s="9"/>
      <c r="B4" s="9"/>
      <c r="C4" s="9"/>
      <c r="D4" s="9"/>
      <c r="E4" s="9"/>
      <c r="F4" s="9"/>
      <c r="G4" s="9"/>
      <c r="H4" s="9"/>
      <c r="AZ4" s="1" t="s">
        <v>42</v>
      </c>
    </row>
    <row r="5" spans="1:52" ht="25.65" customHeight="1" x14ac:dyDescent="0.5">
      <c r="A5" s="9"/>
      <c r="B5" s="9"/>
      <c r="C5" s="15" t="s">
        <v>29</v>
      </c>
      <c r="D5" s="9"/>
      <c r="E5" s="9"/>
      <c r="F5" s="9"/>
      <c r="G5" s="9"/>
      <c r="H5" s="9"/>
      <c r="Z5" s="16" t="s">
        <v>31</v>
      </c>
    </row>
    <row r="6" spans="1:52" x14ac:dyDescent="0.3">
      <c r="A6" s="9"/>
      <c r="B6" s="9"/>
      <c r="C6" s="9"/>
      <c r="D6" s="9"/>
      <c r="E6" s="9"/>
      <c r="F6" s="9"/>
      <c r="G6" s="9"/>
      <c r="H6" s="9"/>
    </row>
    <row r="7" spans="1:52" x14ac:dyDescent="0.3">
      <c r="A7" s="9"/>
      <c r="B7" s="9"/>
      <c r="C7" s="9"/>
      <c r="D7" s="9"/>
      <c r="E7" s="9"/>
      <c r="F7" s="9"/>
      <c r="G7" s="9"/>
      <c r="H7" s="9"/>
      <c r="AH7" s="19"/>
      <c r="AI7" s="1" t="s">
        <v>46</v>
      </c>
    </row>
    <row r="8" spans="1:52" x14ac:dyDescent="0.3">
      <c r="A8" s="9"/>
      <c r="B8" s="9"/>
      <c r="C8" s="9"/>
      <c r="D8" s="9"/>
      <c r="E8" s="9"/>
      <c r="F8" s="9"/>
      <c r="G8" s="9"/>
      <c r="H8" s="9"/>
    </row>
    <row r="9" spans="1:52" x14ac:dyDescent="0.3">
      <c r="A9" s="9"/>
      <c r="B9" s="9"/>
      <c r="C9" s="9"/>
      <c r="D9" s="9"/>
      <c r="E9" s="9"/>
      <c r="F9" s="9"/>
      <c r="G9" s="9"/>
      <c r="H9" s="9"/>
      <c r="AH9" s="35"/>
      <c r="AI9" s="1" t="s">
        <v>133</v>
      </c>
    </row>
    <row r="10" spans="1:52" x14ac:dyDescent="0.3">
      <c r="A10" s="40"/>
      <c r="B10" s="40"/>
      <c r="C10" s="41"/>
      <c r="D10" s="41"/>
      <c r="E10" s="41"/>
      <c r="F10" s="41"/>
      <c r="G10" s="41"/>
      <c r="H10" s="10"/>
    </row>
    <row r="11" spans="1:52" ht="39" customHeight="1" x14ac:dyDescent="0.3">
      <c r="A11" s="40"/>
      <c r="B11" s="40"/>
      <c r="C11" s="9"/>
      <c r="D11" s="9"/>
      <c r="E11" s="9"/>
      <c r="F11" s="9"/>
      <c r="G11" s="9"/>
      <c r="H11" s="9"/>
    </row>
    <row r="12" spans="1:52" ht="26.4" customHeight="1" x14ac:dyDescent="0.3">
      <c r="A12" s="9"/>
      <c r="B12" s="9"/>
      <c r="C12" s="11" t="s">
        <v>0</v>
      </c>
      <c r="D12" s="12"/>
      <c r="E12" s="12"/>
      <c r="F12" s="12"/>
      <c r="G12" s="12"/>
      <c r="H12" s="12"/>
    </row>
    <row r="13" spans="1:52" x14ac:dyDescent="0.3">
      <c r="A13" s="9"/>
      <c r="B13" s="9"/>
      <c r="C13" s="12"/>
      <c r="D13" s="12"/>
      <c r="E13" s="12"/>
      <c r="F13" s="12"/>
      <c r="G13" s="12"/>
      <c r="H13" s="12"/>
    </row>
    <row r="14" spans="1:52" ht="37.35" customHeight="1" x14ac:dyDescent="0.3">
      <c r="A14" s="9"/>
      <c r="B14" s="9"/>
      <c r="C14" s="11" t="s">
        <v>67</v>
      </c>
      <c r="D14" s="12"/>
      <c r="E14" s="12"/>
      <c r="F14" s="12"/>
      <c r="G14" s="12"/>
      <c r="H14" s="12"/>
    </row>
    <row r="15" spans="1:52" ht="31.35" customHeight="1" x14ac:dyDescent="0.3">
      <c r="A15" s="9"/>
      <c r="B15" s="9"/>
      <c r="C15" s="12"/>
      <c r="D15" s="12"/>
      <c r="E15" s="12"/>
      <c r="F15" s="12"/>
      <c r="G15" s="12"/>
      <c r="H15" s="12"/>
    </row>
    <row r="16" spans="1:52" x14ac:dyDescent="0.3">
      <c r="A16" s="9"/>
      <c r="B16" s="9"/>
      <c r="C16" s="13"/>
      <c r="D16" s="13"/>
      <c r="E16" s="13"/>
      <c r="F16" s="13"/>
      <c r="G16" s="13"/>
      <c r="H16" s="13"/>
    </row>
    <row r="17" spans="1:54" ht="30" customHeight="1" x14ac:dyDescent="0.3">
      <c r="A17" s="9"/>
      <c r="B17" s="9"/>
      <c r="C17" s="13"/>
      <c r="D17" s="13"/>
      <c r="E17" s="13"/>
      <c r="F17" s="13"/>
      <c r="G17" s="13"/>
      <c r="H17" s="13"/>
    </row>
    <row r="18" spans="1:54" x14ac:dyDescent="0.3">
      <c r="A18" s="9"/>
      <c r="B18" s="9"/>
      <c r="C18" s="13"/>
      <c r="D18" s="13"/>
      <c r="E18" s="13"/>
      <c r="F18" s="13"/>
      <c r="G18" s="13"/>
      <c r="H18" s="13"/>
    </row>
    <row r="19" spans="1:54" x14ac:dyDescent="0.3">
      <c r="A19" s="9"/>
      <c r="B19" s="9"/>
      <c r="C19" s="13"/>
      <c r="D19" s="13"/>
      <c r="E19" s="13"/>
      <c r="F19" s="13"/>
      <c r="G19" s="13"/>
      <c r="H19" s="13"/>
    </row>
    <row r="20" spans="1:54" x14ac:dyDescent="0.3">
      <c r="A20" s="9"/>
      <c r="B20" s="9"/>
      <c r="C20" s="9"/>
      <c r="D20" s="9"/>
      <c r="E20" s="9"/>
      <c r="F20" s="9"/>
      <c r="G20" s="9"/>
      <c r="H20" s="9"/>
      <c r="AQ20" s="1" t="s">
        <v>52</v>
      </c>
      <c r="AW20" s="1" t="s">
        <v>54</v>
      </c>
    </row>
    <row r="21" spans="1:54" x14ac:dyDescent="0.3">
      <c r="A21" s="9"/>
      <c r="B21" s="9"/>
      <c r="C21" s="9"/>
      <c r="D21" s="9"/>
      <c r="E21" s="9"/>
      <c r="F21" s="9"/>
      <c r="G21" s="9"/>
      <c r="H21" s="9"/>
    </row>
    <row r="22" spans="1:54" ht="34.65" customHeight="1" x14ac:dyDescent="0.3">
      <c r="A22" s="9"/>
      <c r="B22" s="9"/>
      <c r="C22" s="9"/>
      <c r="D22" s="9"/>
      <c r="E22" s="9"/>
      <c r="F22" s="9"/>
      <c r="G22" s="9"/>
      <c r="H22" s="9"/>
      <c r="AR22" s="1" t="s">
        <v>53</v>
      </c>
      <c r="AW22" s="1" t="s">
        <v>55</v>
      </c>
    </row>
    <row r="23" spans="1:54" ht="14.4" customHeight="1" x14ac:dyDescent="0.3">
      <c r="A23" s="9"/>
      <c r="B23" s="9"/>
      <c r="C23" s="53" t="s">
        <v>61</v>
      </c>
      <c r="D23" s="9"/>
      <c r="E23" s="9"/>
      <c r="F23" s="9"/>
      <c r="G23" s="9"/>
      <c r="H23" s="9"/>
      <c r="K23" s="1" t="s">
        <v>127</v>
      </c>
      <c r="AP23" s="1" t="s">
        <v>30</v>
      </c>
      <c r="AR23" s="1" t="s">
        <v>42</v>
      </c>
      <c r="AU23" s="1" t="s">
        <v>43</v>
      </c>
    </row>
    <row r="24" spans="1:54" x14ac:dyDescent="0.3">
      <c r="A24" s="9"/>
      <c r="B24" s="9"/>
      <c r="C24" s="14" t="s">
        <v>62</v>
      </c>
      <c r="D24" s="9"/>
      <c r="E24" s="9"/>
      <c r="F24" s="9"/>
      <c r="G24" s="9"/>
      <c r="H24" s="9"/>
    </row>
    <row r="25" spans="1:54" x14ac:dyDescent="0.3">
      <c r="A25" s="9"/>
      <c r="B25" s="9"/>
      <c r="C25" s="9"/>
      <c r="D25" s="9"/>
      <c r="E25" s="9"/>
      <c r="F25" s="9"/>
      <c r="G25" s="9"/>
      <c r="H25" s="9"/>
      <c r="AY25" s="1" t="s">
        <v>56</v>
      </c>
    </row>
    <row r="26" spans="1:54" ht="12.6" customHeight="1" x14ac:dyDescent="0.3">
      <c r="A26" s="9"/>
      <c r="B26" s="9"/>
      <c r="C26" s="9"/>
      <c r="D26" s="9"/>
      <c r="E26" s="9"/>
      <c r="F26" s="9"/>
      <c r="G26" s="9"/>
      <c r="H26" s="9"/>
      <c r="AY26" s="37" t="s">
        <v>77</v>
      </c>
      <c r="AZ26" s="38"/>
      <c r="BA26" s="38"/>
      <c r="BB26" s="39"/>
    </row>
    <row r="27" spans="1:54" ht="43.2" x14ac:dyDescent="0.3">
      <c r="A27" s="9"/>
      <c r="B27" s="9"/>
      <c r="C27" s="9"/>
      <c r="D27" s="9"/>
      <c r="E27" s="9"/>
      <c r="F27" s="9"/>
      <c r="G27" s="9"/>
      <c r="H27" s="9"/>
      <c r="AO27" s="7" t="s">
        <v>32</v>
      </c>
      <c r="AP27" s="8" t="s">
        <v>33</v>
      </c>
      <c r="AQ27" s="8" t="s">
        <v>50</v>
      </c>
      <c r="AR27" s="8" t="s">
        <v>51</v>
      </c>
      <c r="AS27" s="7" t="s">
        <v>34</v>
      </c>
      <c r="AT27" s="7" t="s">
        <v>35</v>
      </c>
      <c r="AU27" s="8" t="s">
        <v>36</v>
      </c>
      <c r="AV27" s="7" t="s">
        <v>37</v>
      </c>
      <c r="AW27" s="8" t="s">
        <v>38</v>
      </c>
      <c r="AX27" s="23" t="s">
        <v>39</v>
      </c>
      <c r="AY27" s="7" t="s">
        <v>78</v>
      </c>
      <c r="AZ27" s="7" t="s">
        <v>79</v>
      </c>
      <c r="BA27" s="7" t="s">
        <v>80</v>
      </c>
      <c r="BB27" s="7" t="s">
        <v>81</v>
      </c>
    </row>
    <row r="28" spans="1:54" x14ac:dyDescent="0.3">
      <c r="A28" s="9"/>
      <c r="B28" s="9"/>
      <c r="C28" s="53" t="s">
        <v>64</v>
      </c>
      <c r="D28" s="9"/>
      <c r="E28" s="9"/>
      <c r="F28" s="9"/>
      <c r="G28" s="9"/>
      <c r="H28" s="9"/>
      <c r="X28" s="7" t="s">
        <v>0</v>
      </c>
      <c r="Y28" s="7" t="s">
        <v>65</v>
      </c>
      <c r="AO28" s="7">
        <v>-2</v>
      </c>
      <c r="AP28" s="7">
        <v>-1026898.8762601305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24">
        <v>-1026898.8762601305</v>
      </c>
      <c r="AY28" s="7">
        <v>-1026898.8762601305</v>
      </c>
      <c r="AZ28" s="7">
        <v>1.1449</v>
      </c>
      <c r="BA28" s="7">
        <v>-1175696.5234302236</v>
      </c>
      <c r="BB28" s="7">
        <v>-1175696.5234302236</v>
      </c>
    </row>
    <row r="29" spans="1:54" x14ac:dyDescent="0.3">
      <c r="A29" s="9"/>
      <c r="B29" s="9"/>
      <c r="C29" s="9"/>
      <c r="D29" s="9"/>
      <c r="E29" s="9"/>
      <c r="F29" s="9"/>
      <c r="G29" s="9"/>
      <c r="H29" s="9"/>
      <c r="J29" s="1" t="s">
        <v>74</v>
      </c>
      <c r="X29" s="7" t="s">
        <v>1</v>
      </c>
      <c r="Y29" s="22">
        <v>7.6999999999999999E-2</v>
      </c>
      <c r="AO29" s="7">
        <v>-1</v>
      </c>
      <c r="AP29" s="7">
        <v>-5483163.3427849477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24">
        <v>-5483163.3427849477</v>
      </c>
      <c r="AY29" s="7">
        <v>-6510062.2190450784</v>
      </c>
      <c r="AZ29" s="7">
        <v>1.07</v>
      </c>
      <c r="BA29" s="7">
        <v>-6965766.5743782343</v>
      </c>
      <c r="BB29" s="7">
        <v>-8141463.0978084579</v>
      </c>
    </row>
    <row r="30" spans="1:54" ht="13.65" customHeight="1" x14ac:dyDescent="0.3">
      <c r="A30" s="9"/>
      <c r="B30" s="9"/>
      <c r="C30" s="9"/>
      <c r="D30" s="9"/>
      <c r="E30" s="9"/>
      <c r="F30" s="9"/>
      <c r="G30" s="9"/>
      <c r="H30" s="9"/>
      <c r="X30" s="7" t="s">
        <v>66</v>
      </c>
      <c r="Y30" s="22">
        <v>5.3999999999999999E-2</v>
      </c>
      <c r="AN30" s="17" t="s">
        <v>44</v>
      </c>
      <c r="AO30" s="7">
        <v>0</v>
      </c>
      <c r="AP30" s="7">
        <v>-3289898.0056709684</v>
      </c>
      <c r="AQ30" s="7">
        <v>0</v>
      </c>
      <c r="AR30" s="7">
        <v>137306477.75979906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24">
        <v>-3289898.0056709684</v>
      </c>
      <c r="AY30" s="7">
        <v>-9799960.2247160468</v>
      </c>
      <c r="AZ30" s="7">
        <v>1</v>
      </c>
      <c r="BA30" s="7">
        <v>-9799960.2247160468</v>
      </c>
      <c r="BB30" s="7">
        <v>-17941423.322524503</v>
      </c>
    </row>
    <row r="31" spans="1:54" x14ac:dyDescent="0.3">
      <c r="A31" s="9"/>
      <c r="B31" s="9"/>
      <c r="C31" s="9"/>
      <c r="D31" s="9"/>
      <c r="E31" s="9"/>
      <c r="F31" s="9"/>
      <c r="G31" s="9"/>
      <c r="H31" s="9"/>
      <c r="AO31" s="7">
        <v>1</v>
      </c>
      <c r="AP31" s="7">
        <v>0</v>
      </c>
      <c r="AQ31" s="7">
        <v>6865323.8879899532</v>
      </c>
      <c r="AR31" s="7">
        <v>130441153.87180911</v>
      </c>
      <c r="AS31" s="7">
        <v>123061021.04383689</v>
      </c>
      <c r="AT31" s="7">
        <v>1622458.5274760241</v>
      </c>
      <c r="AU31" s="7">
        <v>111291187.3645492</v>
      </c>
      <c r="AV31" s="7">
        <v>2172178.1959811207</v>
      </c>
      <c r="AW31" s="7">
        <v>7975196.9558305386</v>
      </c>
      <c r="AX31" s="24">
        <v>7975196.9558305386</v>
      </c>
      <c r="AY31" s="7">
        <v>-1824763.2688855082</v>
      </c>
      <c r="AZ31" s="7">
        <v>0.93457943925233644</v>
      </c>
      <c r="BA31" s="7">
        <v>-1705386.2326032787</v>
      </c>
      <c r="BB31" s="7">
        <v>-19646809.555127781</v>
      </c>
    </row>
    <row r="32" spans="1:54" ht="29.4" customHeight="1" x14ac:dyDescent="0.3">
      <c r="A32" s="9"/>
      <c r="B32" s="9"/>
      <c r="C32" s="14"/>
      <c r="D32" s="9"/>
      <c r="E32" s="9"/>
      <c r="F32" s="9"/>
      <c r="G32" s="9"/>
      <c r="H32" s="9"/>
      <c r="AN32" s="17" t="s">
        <v>45</v>
      </c>
      <c r="AO32" s="7">
        <v>2</v>
      </c>
      <c r="AP32" s="7">
        <v>0</v>
      </c>
      <c r="AQ32" s="7">
        <v>6865323.8879899532</v>
      </c>
      <c r="AR32" s="7">
        <v>123575829.98381916</v>
      </c>
      <c r="AS32" s="7">
        <v>123061021.04383689</v>
      </c>
      <c r="AT32" s="7">
        <v>1622458.5274760241</v>
      </c>
      <c r="AU32" s="7">
        <v>111291187.3645492</v>
      </c>
      <c r="AV32" s="7">
        <v>2172178.1959811207</v>
      </c>
      <c r="AW32" s="7">
        <v>7975196.9558305386</v>
      </c>
      <c r="AX32" s="24">
        <v>7975196.9558305386</v>
      </c>
      <c r="AY32" s="7">
        <v>6150433.6869450305</v>
      </c>
      <c r="AZ32" s="7">
        <v>0.87343872827321156</v>
      </c>
      <c r="BA32" s="7">
        <v>5372026.9778539874</v>
      </c>
      <c r="BB32" s="7">
        <v>-14274782.577273794</v>
      </c>
    </row>
    <row r="33" spans="1:54" ht="14.4" customHeight="1" x14ac:dyDescent="0.3">
      <c r="A33" s="9"/>
      <c r="B33" s="9"/>
      <c r="C33" s="53" t="s">
        <v>129</v>
      </c>
      <c r="D33" s="9"/>
      <c r="E33" s="9"/>
      <c r="F33" s="9"/>
      <c r="G33" s="9"/>
      <c r="H33" s="9"/>
      <c r="AO33" s="7">
        <v>3</v>
      </c>
      <c r="AP33" s="7">
        <v>0</v>
      </c>
      <c r="AQ33" s="7">
        <v>6865323.8879899532</v>
      </c>
      <c r="AR33" s="7">
        <v>116710506.0958292</v>
      </c>
      <c r="AS33" s="7">
        <v>123061021.04383689</v>
      </c>
      <c r="AT33" s="7">
        <v>1622458.5274760241</v>
      </c>
      <c r="AU33" s="7">
        <v>111291187.3645492</v>
      </c>
      <c r="AV33" s="7">
        <v>2172178.1959811207</v>
      </c>
      <c r="AW33" s="7">
        <v>7975196.9558305386</v>
      </c>
      <c r="AX33" s="24">
        <v>7975196.9558305386</v>
      </c>
      <c r="AY33" s="7">
        <v>14125630.642775569</v>
      </c>
      <c r="AZ33" s="7">
        <v>0.81629787689085187</v>
      </c>
      <c r="BA33" s="7">
        <v>11530722.303442055</v>
      </c>
      <c r="BB33" s="7">
        <v>-2744060.2738317382</v>
      </c>
    </row>
    <row r="34" spans="1:54" x14ac:dyDescent="0.3">
      <c r="A34" s="9"/>
      <c r="B34" s="9"/>
      <c r="C34" s="9"/>
      <c r="D34" s="9"/>
      <c r="E34" s="9"/>
      <c r="F34" s="9"/>
      <c r="G34" s="9"/>
      <c r="H34" s="9"/>
      <c r="AO34" s="7">
        <v>4</v>
      </c>
      <c r="AP34" s="7">
        <v>0</v>
      </c>
      <c r="AQ34" s="7">
        <v>6865323.8879899532</v>
      </c>
      <c r="AR34" s="7">
        <v>109845182.20783925</v>
      </c>
      <c r="AS34" s="7">
        <v>123061021.04383689</v>
      </c>
      <c r="AT34" s="7">
        <v>1622458.5274760241</v>
      </c>
      <c r="AU34" s="7">
        <v>111291187.3645492</v>
      </c>
      <c r="AV34" s="7">
        <v>2172178.1959811207</v>
      </c>
      <c r="AW34" s="7">
        <v>7975196.9558305386</v>
      </c>
      <c r="AX34" s="24">
        <v>7975196.9558305386</v>
      </c>
      <c r="AY34" s="7">
        <v>22100827.59860611</v>
      </c>
      <c r="AZ34" s="7">
        <v>0.7628952120475252</v>
      </c>
      <c r="BA34" s="7">
        <v>16860615.557264406</v>
      </c>
      <c r="BB34" s="7">
        <v>14116555.283432668</v>
      </c>
    </row>
    <row r="35" spans="1:54" x14ac:dyDescent="0.3">
      <c r="A35" s="9"/>
      <c r="B35" s="9"/>
      <c r="C35" s="9"/>
      <c r="D35" s="9"/>
      <c r="E35" s="9"/>
      <c r="F35" s="9"/>
      <c r="G35" s="9"/>
      <c r="H35" s="9"/>
      <c r="AO35" s="7">
        <v>5</v>
      </c>
      <c r="AP35" s="7">
        <v>0</v>
      </c>
      <c r="AQ35" s="7">
        <v>6865323.8879899532</v>
      </c>
      <c r="AR35" s="7">
        <v>102979858.3198493</v>
      </c>
      <c r="AS35" s="7">
        <v>123061021.04383689</v>
      </c>
      <c r="AT35" s="7">
        <v>1622458.5274760241</v>
      </c>
      <c r="AU35" s="7">
        <v>111291187.3645492</v>
      </c>
      <c r="AV35" s="7">
        <v>2172178.1959811207</v>
      </c>
      <c r="AW35" s="7">
        <v>7975196.9558305386</v>
      </c>
      <c r="AX35" s="24">
        <v>7975196.9558305386</v>
      </c>
      <c r="AY35" s="7">
        <v>30076024.554436646</v>
      </c>
      <c r="AZ35" s="7">
        <v>0.71298617948366838</v>
      </c>
      <c r="BA35" s="7">
        <v>21443789.841124784</v>
      </c>
      <c r="BB35" s="7">
        <v>35560345.12455745</v>
      </c>
    </row>
    <row r="36" spans="1:54" x14ac:dyDescent="0.3">
      <c r="A36" s="9"/>
      <c r="B36" s="9"/>
      <c r="C36" s="14"/>
      <c r="D36" s="9"/>
      <c r="E36" s="9"/>
      <c r="F36" s="9"/>
      <c r="G36" s="9"/>
      <c r="H36" s="9"/>
      <c r="AO36" s="7">
        <v>6</v>
      </c>
      <c r="AP36" s="7">
        <v>0</v>
      </c>
      <c r="AQ36" s="7">
        <v>6865323.8879899532</v>
      </c>
      <c r="AR36" s="7">
        <v>96114534.431859344</v>
      </c>
      <c r="AS36" s="7">
        <v>123061021.04383689</v>
      </c>
      <c r="AT36" s="7">
        <v>1622458.5274760241</v>
      </c>
      <c r="AU36" s="7">
        <v>111291187.3645492</v>
      </c>
      <c r="AV36" s="7">
        <v>2172178.1959811207</v>
      </c>
      <c r="AW36" s="7">
        <v>7975196.9558305396</v>
      </c>
      <c r="AX36" s="24">
        <v>7975196.9558305386</v>
      </c>
      <c r="AY36" s="7">
        <v>38051221.510267183</v>
      </c>
      <c r="AZ36" s="7">
        <v>0.66634222381651254</v>
      </c>
      <c r="BA36" s="7">
        <v>25355135.56008615</v>
      </c>
      <c r="BB36" s="7">
        <v>60915480.684643596</v>
      </c>
    </row>
    <row r="37" spans="1:54" x14ac:dyDescent="0.3">
      <c r="A37" s="9"/>
      <c r="B37" s="9"/>
      <c r="C37" s="9"/>
      <c r="D37" s="9"/>
      <c r="E37" s="9"/>
      <c r="F37" s="9"/>
      <c r="G37" s="9"/>
      <c r="H37" s="9"/>
      <c r="AO37" s="7">
        <v>7</v>
      </c>
      <c r="AP37" s="7">
        <v>0</v>
      </c>
      <c r="AQ37" s="7">
        <v>6865323.8879899532</v>
      </c>
      <c r="AR37" s="7">
        <v>89249210.543869391</v>
      </c>
      <c r="AS37" s="7">
        <v>123061021.04383689</v>
      </c>
      <c r="AT37" s="7">
        <v>1622458.5274760241</v>
      </c>
      <c r="AU37" s="7">
        <v>111291187.3645492</v>
      </c>
      <c r="AV37" s="7">
        <v>2172178.1959811207</v>
      </c>
      <c r="AW37" s="7">
        <v>7975196.9558305386</v>
      </c>
      <c r="AX37" s="24">
        <v>7975196.9558305386</v>
      </c>
      <c r="AY37" s="7">
        <v>46026418.46609772</v>
      </c>
      <c r="AZ37" s="7">
        <v>0.62274974188459109</v>
      </c>
      <c r="BA37" s="7">
        <v>28662940.219634533</v>
      </c>
      <c r="BB37" s="7">
        <v>89578420.904278129</v>
      </c>
    </row>
    <row r="38" spans="1:54" x14ac:dyDescent="0.3">
      <c r="A38" s="9"/>
      <c r="B38" s="9"/>
      <c r="C38" s="9"/>
      <c r="D38" s="9"/>
      <c r="E38" s="9"/>
      <c r="F38" s="9"/>
      <c r="G38" s="9"/>
      <c r="H38" s="9"/>
      <c r="AO38" s="7">
        <v>8</v>
      </c>
      <c r="AP38" s="7">
        <v>0</v>
      </c>
      <c r="AQ38" s="7">
        <v>6865323.8879899532</v>
      </c>
      <c r="AR38" s="7">
        <v>82383886.655879438</v>
      </c>
      <c r="AS38" s="7">
        <v>123061021.04383689</v>
      </c>
      <c r="AT38" s="7">
        <v>1622458.5274760241</v>
      </c>
      <c r="AU38" s="7">
        <v>111291187.3645492</v>
      </c>
      <c r="AV38" s="7">
        <v>2172178.1959811207</v>
      </c>
      <c r="AW38" s="7">
        <v>7975196.9558305386</v>
      </c>
      <c r="AX38" s="24">
        <v>7975196.9558305386</v>
      </c>
      <c r="AY38" s="7">
        <v>54001615.421928257</v>
      </c>
      <c r="AZ38" s="7">
        <v>0.5820091045650384</v>
      </c>
      <c r="BA38" s="7">
        <v>31429431.836782034</v>
      </c>
      <c r="BB38" s="7">
        <v>121007852.74106017</v>
      </c>
    </row>
    <row r="39" spans="1:54" x14ac:dyDescent="0.3">
      <c r="A39" s="9"/>
      <c r="B39" s="9"/>
      <c r="C39" s="9"/>
      <c r="D39" s="9"/>
      <c r="E39" s="9"/>
      <c r="F39" s="9"/>
      <c r="G39" s="9"/>
      <c r="H39" s="9"/>
      <c r="AO39" s="7">
        <v>9</v>
      </c>
      <c r="AP39" s="7">
        <v>0</v>
      </c>
      <c r="AQ39" s="7">
        <v>6865323.8879899532</v>
      </c>
      <c r="AR39" s="7">
        <v>75518562.767889485</v>
      </c>
      <c r="AS39" s="7">
        <v>123061021.04383689</v>
      </c>
      <c r="AT39" s="7">
        <v>1622458.5274760241</v>
      </c>
      <c r="AU39" s="7">
        <v>111291187.3645492</v>
      </c>
      <c r="AV39" s="7">
        <v>2172178.1959811207</v>
      </c>
      <c r="AW39" s="7">
        <v>7975196.9558305386</v>
      </c>
      <c r="AX39" s="24">
        <v>7975196.9558305386</v>
      </c>
      <c r="AY39" s="7">
        <v>61976812.377758794</v>
      </c>
      <c r="AZ39" s="7">
        <v>0.54393374258414806</v>
      </c>
      <c r="BA39" s="7">
        <v>33711279.510069892</v>
      </c>
      <c r="BB39" s="7">
        <v>154719132.25113004</v>
      </c>
    </row>
    <row r="40" spans="1:54" x14ac:dyDescent="0.3">
      <c r="A40" s="9"/>
      <c r="B40" s="9"/>
      <c r="C40" s="9"/>
      <c r="D40" s="9"/>
      <c r="E40" s="9"/>
      <c r="F40" s="9"/>
      <c r="G40" s="9"/>
      <c r="H40" s="9"/>
      <c r="AO40" s="7">
        <v>10</v>
      </c>
      <c r="AP40" s="7">
        <v>0</v>
      </c>
      <c r="AQ40" s="7">
        <v>6865323.8879899532</v>
      </c>
      <c r="AR40" s="7">
        <v>68653238.879899532</v>
      </c>
      <c r="AS40" s="7">
        <v>123061021.04383689</v>
      </c>
      <c r="AT40" s="7">
        <v>1622458.5274760241</v>
      </c>
      <c r="AU40" s="7">
        <v>111291187.3645492</v>
      </c>
      <c r="AV40" s="7">
        <v>2172178.1959811207</v>
      </c>
      <c r="AW40" s="7">
        <v>7975196.9558305386</v>
      </c>
      <c r="AX40" s="24">
        <v>7975196.9558305386</v>
      </c>
      <c r="AY40" s="7">
        <v>69952009.33358933</v>
      </c>
      <c r="AZ40" s="7">
        <v>0.5083492921347178</v>
      </c>
      <c r="BA40" s="7">
        <v>35560054.428131312</v>
      </c>
      <c r="BB40" s="7">
        <v>190279186.67926136</v>
      </c>
    </row>
    <row r="41" spans="1:54" ht="14.4" customHeight="1" x14ac:dyDescent="0.3">
      <c r="A41" s="9"/>
      <c r="B41" s="9"/>
      <c r="C41" s="54" t="s">
        <v>139</v>
      </c>
      <c r="D41" s="54"/>
      <c r="E41" s="54"/>
      <c r="F41" s="54"/>
      <c r="G41" s="9"/>
      <c r="H41" s="9"/>
      <c r="AO41" s="7">
        <v>11</v>
      </c>
      <c r="AP41" s="7">
        <v>0</v>
      </c>
      <c r="AQ41" s="7">
        <v>6865323.8879899532</v>
      </c>
      <c r="AR41" s="7">
        <v>61787914.991909578</v>
      </c>
      <c r="AS41" s="7">
        <v>123061021.04383689</v>
      </c>
      <c r="AT41" s="7">
        <v>0</v>
      </c>
      <c r="AU41" s="7">
        <v>111291187.3645492</v>
      </c>
      <c r="AV41" s="7">
        <v>2561568.242575367</v>
      </c>
      <c r="AW41" s="7">
        <v>9208265.4367123209</v>
      </c>
      <c r="AX41" s="24">
        <v>9208265.4367123209</v>
      </c>
      <c r="AY41" s="7">
        <v>79160274.770301655</v>
      </c>
      <c r="AZ41" s="7">
        <v>0.47509279638758667</v>
      </c>
      <c r="BA41" s="7">
        <v>37608476.303432338</v>
      </c>
      <c r="BB41" s="7">
        <v>227887662.9826937</v>
      </c>
    </row>
    <row r="42" spans="1:54" x14ac:dyDescent="0.3">
      <c r="A42" s="9"/>
      <c r="B42" s="9"/>
      <c r="C42" s="9"/>
      <c r="D42" s="9"/>
      <c r="E42" s="9"/>
      <c r="F42" s="9"/>
      <c r="G42" s="9"/>
      <c r="H42" s="9"/>
      <c r="AO42" s="7">
        <v>12</v>
      </c>
      <c r="AP42" s="7">
        <v>0</v>
      </c>
      <c r="AQ42" s="7">
        <v>6865323.8879899532</v>
      </c>
      <c r="AR42" s="7">
        <v>54922591.103919625</v>
      </c>
      <c r="AS42" s="7">
        <v>123061021.04383689</v>
      </c>
      <c r="AT42" s="7">
        <v>0</v>
      </c>
      <c r="AU42" s="7">
        <v>111291187.3645492</v>
      </c>
      <c r="AV42" s="7">
        <v>2561568.242575367</v>
      </c>
      <c r="AW42" s="7">
        <v>9208265.4367123209</v>
      </c>
      <c r="AX42" s="24">
        <v>9208265.4367123209</v>
      </c>
      <c r="AY42" s="7">
        <v>88368540.20701398</v>
      </c>
      <c r="AZ42" s="7">
        <v>0.44401195924073528</v>
      </c>
      <c r="BA42" s="7">
        <v>39236688.672559969</v>
      </c>
      <c r="BB42" s="7">
        <v>267124351.65525368</v>
      </c>
    </row>
    <row r="43" spans="1:54" x14ac:dyDescent="0.3">
      <c r="A43" s="9"/>
      <c r="B43" s="9"/>
      <c r="C43" s="9"/>
      <c r="D43" s="9"/>
      <c r="E43" s="9"/>
      <c r="F43" s="9"/>
      <c r="G43" s="9"/>
      <c r="H43" s="9"/>
      <c r="K43" s="1" t="s">
        <v>135</v>
      </c>
      <c r="AO43" s="7">
        <v>13</v>
      </c>
      <c r="AP43" s="7">
        <v>0</v>
      </c>
      <c r="AQ43" s="7">
        <v>6865323.8879899532</v>
      </c>
      <c r="AR43" s="7">
        <v>48057267.215929672</v>
      </c>
      <c r="AS43" s="7">
        <v>123061021.04383689</v>
      </c>
      <c r="AT43" s="7">
        <v>0</v>
      </c>
      <c r="AU43" s="7">
        <v>111291187.3645492</v>
      </c>
      <c r="AV43" s="7">
        <v>2561568.242575367</v>
      </c>
      <c r="AW43" s="7">
        <v>9208265.4367123209</v>
      </c>
      <c r="AX43" s="24">
        <v>9208265.4367123209</v>
      </c>
      <c r="AY43" s="7">
        <v>97576805.643726304</v>
      </c>
      <c r="AZ43" s="7">
        <v>0.41496444788853759</v>
      </c>
      <c r="BA43" s="7">
        <v>40490905.280676022</v>
      </c>
      <c r="BB43" s="7">
        <v>307615256.93592972</v>
      </c>
    </row>
    <row r="44" spans="1:54" x14ac:dyDescent="0.3">
      <c r="A44" s="9"/>
      <c r="B44" s="9"/>
      <c r="C44" s="9"/>
      <c r="D44" s="9"/>
      <c r="E44" s="9"/>
      <c r="F44" s="9"/>
      <c r="G44" s="9"/>
      <c r="H44" s="9"/>
      <c r="Y44" s="1" t="s">
        <v>127</v>
      </c>
      <c r="AO44" s="7">
        <v>14</v>
      </c>
      <c r="AP44" s="7">
        <v>0</v>
      </c>
      <c r="AQ44" s="7">
        <v>6865323.8879899532</v>
      </c>
      <c r="AR44" s="7">
        <v>41191943.327939719</v>
      </c>
      <c r="AS44" s="7">
        <v>123061021.04383689</v>
      </c>
      <c r="AT44" s="7">
        <v>0</v>
      </c>
      <c r="AU44" s="7">
        <v>111291187.3645492</v>
      </c>
      <c r="AV44" s="7">
        <v>2561568.242575367</v>
      </c>
      <c r="AW44" s="7">
        <v>9208265.4367123209</v>
      </c>
      <c r="AX44" s="24">
        <v>9208265.4367123209</v>
      </c>
      <c r="AY44" s="7">
        <v>106785071.08043863</v>
      </c>
      <c r="AZ44" s="7">
        <v>0.3878172410173249</v>
      </c>
      <c r="BA44" s="7">
        <v>41413091.64825464</v>
      </c>
      <c r="BB44" s="7">
        <v>349028348.58418435</v>
      </c>
    </row>
    <row r="45" spans="1:54" x14ac:dyDescent="0.3">
      <c r="A45" s="9"/>
      <c r="B45" s="9"/>
      <c r="C45" s="9"/>
      <c r="D45" s="9"/>
      <c r="E45" s="9"/>
      <c r="F45" s="9"/>
      <c r="G45" s="9"/>
      <c r="H45" s="9"/>
      <c r="AO45" s="7">
        <v>15</v>
      </c>
      <c r="AP45" s="7">
        <v>0</v>
      </c>
      <c r="AQ45" s="7">
        <v>6865323.8879899532</v>
      </c>
      <c r="AR45" s="7">
        <v>34326619.439949766</v>
      </c>
      <c r="AS45" s="7">
        <v>123061021.04383689</v>
      </c>
      <c r="AT45" s="7">
        <v>0</v>
      </c>
      <c r="AU45" s="7">
        <v>111291187.3645492</v>
      </c>
      <c r="AV45" s="7">
        <v>2561568.242575367</v>
      </c>
      <c r="AW45" s="7">
        <v>9208265.4367123209</v>
      </c>
      <c r="AX45" s="24">
        <v>9208265.4367123209</v>
      </c>
      <c r="AY45" s="7">
        <v>115993336.51715095</v>
      </c>
      <c r="AZ45" s="7">
        <v>0.36244601964235967</v>
      </c>
      <c r="BA45" s="7">
        <v>42041323.125678129</v>
      </c>
      <c r="BB45" s="7">
        <v>391069671.70986247</v>
      </c>
    </row>
    <row r="46" spans="1:54" x14ac:dyDescent="0.3">
      <c r="A46" s="9"/>
      <c r="B46" s="9"/>
      <c r="C46" s="9"/>
      <c r="D46" s="9"/>
      <c r="E46" s="9"/>
      <c r="F46" s="9"/>
      <c r="G46" s="9"/>
      <c r="H46" s="9"/>
      <c r="AO46" s="7">
        <v>16</v>
      </c>
      <c r="AP46" s="7">
        <v>0</v>
      </c>
      <c r="AQ46" s="7">
        <v>6865323.8879899532</v>
      </c>
      <c r="AR46" s="7">
        <v>27461295.551959813</v>
      </c>
      <c r="AS46" s="7">
        <v>123061021.04383689</v>
      </c>
      <c r="AT46" s="7">
        <v>0</v>
      </c>
      <c r="AU46" s="7">
        <v>111291187.3645492</v>
      </c>
      <c r="AV46" s="7">
        <v>2561568.242575367</v>
      </c>
      <c r="AW46" s="7">
        <v>9208265.4367123209</v>
      </c>
      <c r="AX46" s="24">
        <v>9208265.4367123209</v>
      </c>
      <c r="AY46" s="7">
        <v>125201601.95386328</v>
      </c>
      <c r="AZ46" s="7">
        <v>0.33873459779659787</v>
      </c>
      <c r="BA46" s="7">
        <v>42410114.281331621</v>
      </c>
      <c r="BB46" s="7">
        <v>433479785.99119407</v>
      </c>
    </row>
    <row r="47" spans="1:54" x14ac:dyDescent="0.3">
      <c r="A47" s="9"/>
      <c r="B47" s="9"/>
      <c r="C47" s="9"/>
      <c r="D47" s="9"/>
      <c r="E47" s="9"/>
      <c r="F47" s="9"/>
      <c r="G47" s="9"/>
      <c r="H47" s="9"/>
      <c r="AO47" s="7">
        <v>17</v>
      </c>
      <c r="AP47" s="7">
        <v>0</v>
      </c>
      <c r="AQ47" s="7">
        <v>6865323.8879899532</v>
      </c>
      <c r="AR47" s="7">
        <v>20595971.663969859</v>
      </c>
      <c r="AS47" s="7">
        <v>123061021.04383689</v>
      </c>
      <c r="AT47" s="7">
        <v>0</v>
      </c>
      <c r="AU47" s="7">
        <v>111291187.3645492</v>
      </c>
      <c r="AV47" s="7">
        <v>2561568.242575367</v>
      </c>
      <c r="AW47" s="7">
        <v>9208265.4367123209</v>
      </c>
      <c r="AX47" s="24">
        <v>9208265.4367123209</v>
      </c>
      <c r="AY47" s="7">
        <v>134409867.39057559</v>
      </c>
      <c r="AZ47" s="7">
        <v>0.31657439046411018</v>
      </c>
      <c r="BA47" s="7">
        <v>42550721.841533348</v>
      </c>
      <c r="BB47" s="7">
        <v>476030507.83272743</v>
      </c>
    </row>
    <row r="48" spans="1:54" x14ac:dyDescent="0.3">
      <c r="A48" s="9"/>
      <c r="B48" s="9"/>
      <c r="C48" s="53" t="s">
        <v>131</v>
      </c>
      <c r="D48" s="9"/>
      <c r="E48" s="9"/>
      <c r="F48" s="9"/>
      <c r="G48" s="9"/>
      <c r="H48" s="9"/>
      <c r="AO48" s="7">
        <v>18</v>
      </c>
      <c r="AP48" s="7">
        <v>0</v>
      </c>
      <c r="AQ48" s="7">
        <v>6865323.8879899532</v>
      </c>
      <c r="AR48" s="7">
        <v>13730647.775979906</v>
      </c>
      <c r="AS48" s="7">
        <v>123061021.04383689</v>
      </c>
      <c r="AT48" s="7">
        <v>0</v>
      </c>
      <c r="AU48" s="7">
        <v>111291187.3645492</v>
      </c>
      <c r="AV48" s="7">
        <v>2561568.242575367</v>
      </c>
      <c r="AW48" s="7">
        <v>9208265.4367123209</v>
      </c>
      <c r="AX48" s="24">
        <v>9208265.4367123209</v>
      </c>
      <c r="AY48" s="7">
        <v>143618132.82728791</v>
      </c>
      <c r="AZ48" s="7">
        <v>0.29586391632159825</v>
      </c>
      <c r="BA48" s="7">
        <v>42491423.233076893</v>
      </c>
      <c r="BB48" s="7">
        <v>518521931.0658043</v>
      </c>
    </row>
    <row r="49" spans="1:54" x14ac:dyDescent="0.3">
      <c r="A49" s="9"/>
      <c r="B49" s="9"/>
      <c r="C49" s="14"/>
      <c r="D49" s="9"/>
      <c r="E49" s="9"/>
      <c r="F49" s="9"/>
      <c r="G49" s="9"/>
      <c r="H49" s="9"/>
      <c r="AO49" s="7">
        <v>19</v>
      </c>
      <c r="AP49" s="7">
        <v>0</v>
      </c>
      <c r="AQ49" s="7">
        <v>6865323.8879899532</v>
      </c>
      <c r="AR49" s="7">
        <v>6865323.8879899532</v>
      </c>
      <c r="AS49" s="7">
        <v>123061021.04383689</v>
      </c>
      <c r="AT49" s="7">
        <v>0</v>
      </c>
      <c r="AU49" s="7">
        <v>111291187.3645492</v>
      </c>
      <c r="AV49" s="7">
        <v>2561568.242575367</v>
      </c>
      <c r="AW49" s="7">
        <v>9208265.4367123209</v>
      </c>
      <c r="AX49" s="24">
        <v>9208265.4367123209</v>
      </c>
      <c r="AY49" s="7">
        <v>152826398.26400024</v>
      </c>
      <c r="AZ49" s="25">
        <v>0.27650833301083949</v>
      </c>
      <c r="BA49" s="7">
        <v>42257772.624029361</v>
      </c>
      <c r="BB49" s="7">
        <v>560779703.68983364</v>
      </c>
    </row>
    <row r="50" spans="1:54" ht="16.350000000000001" customHeight="1" x14ac:dyDescent="0.3">
      <c r="A50" s="9"/>
      <c r="B50" s="9"/>
      <c r="C50" s="9"/>
      <c r="D50" s="9"/>
      <c r="E50" s="9"/>
      <c r="F50" s="9"/>
      <c r="G50" s="9"/>
      <c r="H50" s="9"/>
      <c r="K50" s="1" t="s">
        <v>127</v>
      </c>
      <c r="AO50" s="7">
        <v>20</v>
      </c>
      <c r="AP50" s="7">
        <v>0</v>
      </c>
      <c r="AQ50" s="7">
        <v>6865323.8879899532</v>
      </c>
      <c r="AR50" s="7">
        <v>0</v>
      </c>
      <c r="AS50" s="7">
        <v>123061021.04383689</v>
      </c>
      <c r="AT50" s="7">
        <v>0</v>
      </c>
      <c r="AU50" s="7">
        <v>111291187.3645492</v>
      </c>
      <c r="AV50" s="7">
        <v>2561568.242575367</v>
      </c>
      <c r="AW50" s="7">
        <v>9208265.4367123209</v>
      </c>
      <c r="AX50" s="24">
        <v>9208265.4367123209</v>
      </c>
      <c r="AY50" s="7">
        <v>162034663.70071256</v>
      </c>
      <c r="AZ50" s="7">
        <v>0.2584190028138687</v>
      </c>
      <c r="BA50" s="7">
        <v>41872836.214818709</v>
      </c>
      <c r="BB50" s="7">
        <v>602652539.90465236</v>
      </c>
    </row>
    <row r="51" spans="1:54" ht="7.65" customHeight="1" x14ac:dyDescent="0.3">
      <c r="A51" s="9"/>
      <c r="B51" s="9"/>
      <c r="C51" s="9"/>
      <c r="D51" s="9"/>
      <c r="E51" s="9"/>
      <c r="F51" s="9"/>
      <c r="G51" s="9"/>
      <c r="H51" s="9"/>
    </row>
    <row r="52" spans="1:54" ht="28.35" customHeight="1" x14ac:dyDescent="0.3">
      <c r="A52" s="9"/>
      <c r="B52" s="9"/>
      <c r="C52" s="9"/>
      <c r="D52" s="9"/>
      <c r="E52" s="9"/>
      <c r="F52" s="9"/>
      <c r="G52" s="9"/>
      <c r="H52" s="9"/>
      <c r="AP52" s="7" t="s">
        <v>48</v>
      </c>
      <c r="AQ52" s="20">
        <v>0.4</v>
      </c>
    </row>
    <row r="53" spans="1:54" ht="28.8" x14ac:dyDescent="0.3">
      <c r="A53" s="9"/>
      <c r="B53" s="9"/>
      <c r="C53" s="9"/>
      <c r="D53" s="9"/>
      <c r="E53" s="9"/>
      <c r="F53" s="9"/>
      <c r="G53" s="9"/>
      <c r="H53" s="9"/>
      <c r="AP53" s="8" t="s">
        <v>49</v>
      </c>
      <c r="AQ53" s="20">
        <v>0.04</v>
      </c>
      <c r="AV53" s="21"/>
      <c r="AW53" s="1" t="s">
        <v>58</v>
      </c>
      <c r="BB53" s="1" t="s">
        <v>68</v>
      </c>
    </row>
    <row r="54" spans="1:54" ht="28.8" x14ac:dyDescent="0.3">
      <c r="A54" s="9"/>
      <c r="B54" s="9"/>
      <c r="C54" s="53" t="s">
        <v>21</v>
      </c>
      <c r="D54" s="9"/>
      <c r="E54" s="9"/>
      <c r="F54" s="9"/>
      <c r="G54" s="9"/>
      <c r="H54" s="9"/>
      <c r="J54" s="1" t="s">
        <v>73</v>
      </c>
      <c r="U54" s="1" t="s">
        <v>73</v>
      </c>
      <c r="AP54" s="8" t="s">
        <v>40</v>
      </c>
      <c r="AQ54" s="7">
        <v>10</v>
      </c>
      <c r="AW54" s="1" t="s">
        <v>57</v>
      </c>
    </row>
    <row r="55" spans="1:54" ht="38.4" customHeight="1" x14ac:dyDescent="0.3">
      <c r="A55" s="9"/>
      <c r="B55" s="9"/>
      <c r="C55" s="9"/>
      <c r="D55" s="9"/>
      <c r="E55" s="9"/>
      <c r="F55" s="9"/>
      <c r="G55" s="9"/>
      <c r="H55" s="9"/>
      <c r="AP55" s="8" t="s">
        <v>41</v>
      </c>
      <c r="AQ55" s="7">
        <v>13159592.022683874</v>
      </c>
      <c r="AR55" s="1" t="s">
        <v>47</v>
      </c>
      <c r="AW55" s="1" t="s">
        <v>83</v>
      </c>
    </row>
    <row r="56" spans="1:54" x14ac:dyDescent="0.3">
      <c r="A56" s="9"/>
      <c r="B56" s="9"/>
      <c r="C56" s="9"/>
      <c r="D56" s="9"/>
      <c r="E56" s="9"/>
      <c r="F56" s="9"/>
      <c r="G56" s="9"/>
      <c r="H56" s="9"/>
    </row>
    <row r="57" spans="1:54" x14ac:dyDescent="0.3">
      <c r="A57" s="9"/>
      <c r="B57" s="9"/>
      <c r="C57" s="9"/>
      <c r="D57" s="9"/>
      <c r="E57" s="9"/>
      <c r="F57" s="9"/>
      <c r="G57" s="9"/>
      <c r="H57" s="9"/>
      <c r="AW57" s="1" t="s">
        <v>101</v>
      </c>
    </row>
    <row r="58" spans="1:54" x14ac:dyDescent="0.3">
      <c r="A58" s="9"/>
      <c r="B58" s="9"/>
      <c r="C58" s="14"/>
      <c r="D58" s="9"/>
      <c r="E58" s="9"/>
      <c r="F58" s="9"/>
      <c r="G58" s="9"/>
      <c r="H58" s="9"/>
      <c r="AK58" s="1" t="s">
        <v>140</v>
      </c>
    </row>
    <row r="59" spans="1:54" x14ac:dyDescent="0.3">
      <c r="A59" s="9"/>
      <c r="B59" s="9"/>
      <c r="C59" s="9"/>
      <c r="D59" s="9"/>
      <c r="E59" s="9"/>
      <c r="F59" s="9"/>
      <c r="G59" s="9"/>
      <c r="H59" s="9"/>
    </row>
    <row r="60" spans="1:54" x14ac:dyDescent="0.3">
      <c r="A60" s="9"/>
      <c r="B60" s="9"/>
      <c r="C60" s="9"/>
      <c r="D60" s="9"/>
      <c r="E60" s="9"/>
      <c r="F60" s="9"/>
      <c r="G60" s="9"/>
      <c r="H60" s="9"/>
    </row>
    <row r="61" spans="1:54" x14ac:dyDescent="0.3">
      <c r="A61" s="9"/>
      <c r="B61" s="9"/>
      <c r="C61" s="9"/>
      <c r="D61" s="9"/>
      <c r="E61" s="9"/>
      <c r="F61" s="9"/>
      <c r="G61" s="9"/>
      <c r="H61" s="9"/>
      <c r="AO61" s="1" t="s">
        <v>59</v>
      </c>
    </row>
    <row r="62" spans="1:54" x14ac:dyDescent="0.3">
      <c r="A62" s="9"/>
      <c r="B62" s="9"/>
      <c r="C62" s="9"/>
      <c r="D62" s="9"/>
      <c r="E62" s="9"/>
      <c r="F62" s="9"/>
      <c r="G62" s="9"/>
      <c r="H62" s="9"/>
    </row>
    <row r="63" spans="1:54" x14ac:dyDescent="0.3">
      <c r="A63" s="9"/>
      <c r="B63" s="9"/>
      <c r="C63" s="9"/>
      <c r="D63" s="9"/>
      <c r="E63" s="9"/>
      <c r="F63" s="9"/>
      <c r="G63" s="9"/>
      <c r="H63" s="9"/>
    </row>
    <row r="64" spans="1:54" x14ac:dyDescent="0.3">
      <c r="A64" s="9"/>
      <c r="B64" s="9"/>
      <c r="C64" s="9"/>
      <c r="D64" s="9"/>
      <c r="E64" s="9"/>
      <c r="F64" s="9"/>
      <c r="G64" s="9"/>
      <c r="H64" s="9"/>
      <c r="AO64" s="1" t="s">
        <v>72</v>
      </c>
    </row>
    <row r="65" spans="1:41" x14ac:dyDescent="0.3">
      <c r="A65" s="9"/>
      <c r="B65" s="9"/>
      <c r="C65" s="14" t="s">
        <v>63</v>
      </c>
      <c r="D65" s="9"/>
      <c r="E65" s="9"/>
      <c r="F65" s="9"/>
      <c r="G65" s="9"/>
      <c r="H65" s="9"/>
    </row>
    <row r="66" spans="1:41" x14ac:dyDescent="0.3">
      <c r="A66" s="9"/>
      <c r="B66" s="9"/>
      <c r="C66" s="9"/>
      <c r="D66" s="9"/>
      <c r="E66" s="9"/>
      <c r="F66" s="9"/>
      <c r="G66" s="9"/>
      <c r="H66" s="9"/>
      <c r="AO66" s="1" t="s">
        <v>76</v>
      </c>
    </row>
    <row r="67" spans="1:41" x14ac:dyDescent="0.3">
      <c r="A67" s="9"/>
      <c r="B67" s="9"/>
      <c r="C67" s="14" t="s">
        <v>82</v>
      </c>
      <c r="D67" s="9"/>
      <c r="E67" s="9"/>
      <c r="F67" s="9"/>
      <c r="G67" s="9"/>
      <c r="H67" s="9"/>
    </row>
    <row r="68" spans="1:41" x14ac:dyDescent="0.3">
      <c r="A68" s="9"/>
      <c r="B68" s="9"/>
      <c r="C68" s="9"/>
      <c r="D68" s="9"/>
      <c r="E68" s="9"/>
      <c r="F68" s="9"/>
      <c r="G68" s="9"/>
      <c r="H68" s="9"/>
      <c r="AO68" s="1" t="s">
        <v>60</v>
      </c>
    </row>
    <row r="69" spans="1:41" x14ac:dyDescent="0.3">
      <c r="A69" s="9"/>
      <c r="B69" s="9"/>
      <c r="C69" s="9"/>
      <c r="D69" s="9"/>
      <c r="E69" s="9"/>
      <c r="F69" s="9"/>
      <c r="G69" s="9"/>
      <c r="H69" s="9"/>
    </row>
    <row r="70" spans="1:41" x14ac:dyDescent="0.3">
      <c r="A70" s="9"/>
      <c r="B70" s="9"/>
      <c r="C70" s="9"/>
      <c r="D70" s="9"/>
      <c r="E70" s="9"/>
      <c r="F70" s="9"/>
      <c r="G70" s="9"/>
      <c r="H70" s="9"/>
      <c r="AO70" s="1" t="s">
        <v>69</v>
      </c>
    </row>
    <row r="71" spans="1:41" x14ac:dyDescent="0.3">
      <c r="A71" s="9"/>
      <c r="B71" s="9"/>
      <c r="C71" s="14"/>
      <c r="D71" s="9"/>
      <c r="E71" s="9"/>
      <c r="F71" s="9"/>
      <c r="G71" s="9"/>
      <c r="H71" s="9"/>
    </row>
    <row r="72" spans="1:41" x14ac:dyDescent="0.3">
      <c r="A72" s="9"/>
      <c r="B72" s="9"/>
      <c r="C72" s="14"/>
      <c r="D72" s="9"/>
      <c r="E72" s="9"/>
      <c r="F72" s="9"/>
      <c r="G72" s="9"/>
      <c r="H72" s="9"/>
      <c r="AO72" s="1" t="s">
        <v>70</v>
      </c>
    </row>
    <row r="73" spans="1:41" x14ac:dyDescent="0.3">
      <c r="A73" s="9"/>
      <c r="B73" s="9"/>
      <c r="C73" s="14"/>
      <c r="D73" s="9"/>
      <c r="E73" s="9"/>
      <c r="F73" s="9"/>
      <c r="G73" s="9"/>
      <c r="H73" s="9"/>
    </row>
    <row r="74" spans="1:41" x14ac:dyDescent="0.3">
      <c r="A74" s="9"/>
      <c r="B74" s="9"/>
      <c r="C74" s="9"/>
      <c r="D74" s="9"/>
      <c r="E74" s="9"/>
      <c r="F74" s="9"/>
      <c r="G74" s="9"/>
      <c r="H74" s="9"/>
      <c r="AO74" s="1" t="s">
        <v>71</v>
      </c>
    </row>
    <row r="75" spans="1:41" x14ac:dyDescent="0.3">
      <c r="A75" s="9"/>
      <c r="B75" s="9"/>
      <c r="C75" s="18"/>
      <c r="D75" s="9"/>
      <c r="E75" s="9"/>
      <c r="F75" s="9"/>
      <c r="G75" s="9"/>
      <c r="H75" s="9"/>
    </row>
    <row r="76" spans="1:41" x14ac:dyDescent="0.3">
      <c r="A76" s="9"/>
      <c r="B76" s="9"/>
      <c r="C76" s="9"/>
      <c r="D76" s="9"/>
      <c r="E76" s="9"/>
      <c r="F76" s="9"/>
      <c r="G76" s="9"/>
      <c r="H76" s="9"/>
      <c r="AO76" s="1" t="s">
        <v>84</v>
      </c>
    </row>
    <row r="77" spans="1:41" x14ac:dyDescent="0.3">
      <c r="A77" s="9"/>
      <c r="B77" s="9"/>
      <c r="C77" s="14"/>
      <c r="D77" s="9"/>
      <c r="E77" s="9"/>
      <c r="F77" s="9"/>
      <c r="G77" s="9"/>
      <c r="H77" s="9"/>
    </row>
    <row r="78" spans="1:41" x14ac:dyDescent="0.3">
      <c r="A78" s="9"/>
      <c r="B78" s="9"/>
      <c r="C78" s="9"/>
      <c r="D78" s="9"/>
      <c r="E78" s="9"/>
      <c r="F78" s="9"/>
      <c r="G78" s="9"/>
      <c r="H78" s="9"/>
      <c r="AO78" s="1" t="s">
        <v>92</v>
      </c>
    </row>
    <row r="79" spans="1:41" x14ac:dyDescent="0.3">
      <c r="A79" s="9"/>
      <c r="B79" s="9"/>
      <c r="C79" s="9"/>
      <c r="D79" s="9"/>
      <c r="E79" s="9"/>
      <c r="F79" s="9"/>
      <c r="G79" s="9"/>
      <c r="H79" s="9"/>
    </row>
    <row r="80" spans="1:41" x14ac:dyDescent="0.3">
      <c r="A80" s="9"/>
      <c r="B80" s="9"/>
      <c r="C80" s="9"/>
      <c r="D80" s="9"/>
      <c r="E80" s="9"/>
      <c r="F80" s="9"/>
      <c r="G80" s="9"/>
      <c r="H80" s="9"/>
      <c r="AO80" s="1" t="s">
        <v>126</v>
      </c>
    </row>
    <row r="81" spans="1:41" x14ac:dyDescent="0.3">
      <c r="A81" s="9"/>
      <c r="B81" s="9"/>
      <c r="C81" s="9"/>
      <c r="D81" s="9"/>
      <c r="E81" s="9"/>
      <c r="F81" s="9"/>
      <c r="G81" s="9"/>
      <c r="H81" s="9"/>
    </row>
    <row r="82" spans="1:41" x14ac:dyDescent="0.3">
      <c r="A82" s="9"/>
      <c r="B82" s="9"/>
      <c r="C82" s="9"/>
      <c r="D82" s="9"/>
      <c r="E82" s="9"/>
      <c r="F82" s="9"/>
      <c r="G82" s="9"/>
      <c r="H82" s="9"/>
      <c r="AO82" s="1" t="s">
        <v>128</v>
      </c>
    </row>
    <row r="83" spans="1:41" x14ac:dyDescent="0.3">
      <c r="A83" s="9"/>
      <c r="B83" s="9"/>
      <c r="C83" s="9"/>
      <c r="D83" s="9"/>
      <c r="E83" s="9"/>
      <c r="F83" s="9"/>
      <c r="G83" s="9"/>
      <c r="H83" s="9"/>
    </row>
    <row r="84" spans="1:41" x14ac:dyDescent="0.3">
      <c r="A84" s="9"/>
      <c r="B84" s="9"/>
      <c r="C84" s="9"/>
      <c r="D84" s="9"/>
      <c r="E84" s="9"/>
      <c r="F84" s="9"/>
      <c r="G84" s="9"/>
      <c r="H84" s="9"/>
      <c r="AO84" s="1" t="s">
        <v>130</v>
      </c>
    </row>
    <row r="85" spans="1:41" x14ac:dyDescent="0.3">
      <c r="A85" s="9"/>
      <c r="B85" s="9"/>
      <c r="C85" s="9"/>
      <c r="D85" s="9"/>
      <c r="E85" s="9"/>
      <c r="F85" s="9"/>
      <c r="G85" s="9"/>
      <c r="H85" s="9"/>
    </row>
    <row r="86" spans="1:41" x14ac:dyDescent="0.3">
      <c r="A86" s="9"/>
      <c r="B86" s="9"/>
      <c r="C86" s="9"/>
      <c r="D86" s="9"/>
      <c r="E86" s="9"/>
      <c r="F86" s="9"/>
      <c r="G86" s="9"/>
      <c r="H86" s="9"/>
      <c r="AO86" s="1" t="s">
        <v>132</v>
      </c>
    </row>
    <row r="87" spans="1:41" x14ac:dyDescent="0.3">
      <c r="A87" s="9"/>
      <c r="B87" s="9"/>
      <c r="C87" s="9"/>
      <c r="D87" s="9"/>
      <c r="E87" s="9"/>
      <c r="F87" s="9"/>
      <c r="G87" s="9"/>
      <c r="H87" s="9"/>
    </row>
    <row r="88" spans="1:41" x14ac:dyDescent="0.3">
      <c r="AO88" s="1" t="s">
        <v>134</v>
      </c>
    </row>
  </sheetData>
  <mergeCells count="5">
    <mergeCell ref="AY26:BB26"/>
    <mergeCell ref="A10:A11"/>
    <mergeCell ref="B10:B11"/>
    <mergeCell ref="C10:G10"/>
    <mergeCell ref="C41:F41"/>
  </mergeCells>
  <printOptions headings="1" gridLines="1"/>
  <pageMargins left="0.23622047244094491" right="0.23622047244094491" top="0.74803149606299213" bottom="0.74803149606299213" header="0.31496062992125984" footer="0.31496062992125984"/>
  <pageSetup paperSize="8"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2D1D-C50A-46CD-B936-755362FE719D}">
  <dimension ref="K2:AM15"/>
  <sheetViews>
    <sheetView zoomScale="70" zoomScaleNormal="70" workbookViewId="0">
      <selection activeCell="L6" sqref="L6"/>
    </sheetView>
  </sheetViews>
  <sheetFormatPr defaultRowHeight="14.4" x14ac:dyDescent="0.3"/>
  <cols>
    <col min="13" max="13" width="10" bestFit="1" customWidth="1"/>
    <col min="14" max="14" width="10.6640625" customWidth="1"/>
    <col min="23" max="23" width="11" bestFit="1" customWidth="1"/>
  </cols>
  <sheetData>
    <row r="2" spans="11:39" x14ac:dyDescent="0.3">
      <c r="K2" s="31" t="s">
        <v>99</v>
      </c>
    </row>
    <row r="3" spans="11:39" x14ac:dyDescent="0.3">
      <c r="K3" t="s">
        <v>94</v>
      </c>
    </row>
    <row r="4" spans="11:39" x14ac:dyDescent="0.3">
      <c r="AA4" s="27" t="s">
        <v>95</v>
      </c>
      <c r="AB4" s="28">
        <v>7.6999999999999999E-2</v>
      </c>
    </row>
    <row r="5" spans="11:39" ht="43.35" customHeight="1" x14ac:dyDescent="0.3">
      <c r="K5" s="1"/>
      <c r="L5" s="1"/>
      <c r="M5" s="1"/>
      <c r="N5" s="34" t="s">
        <v>96</v>
      </c>
      <c r="O5" s="34"/>
      <c r="P5" s="34"/>
      <c r="Q5" s="34"/>
      <c r="R5" s="34"/>
      <c r="S5" s="43" t="s">
        <v>97</v>
      </c>
      <c r="T5" s="43"/>
      <c r="U5" s="43"/>
      <c r="V5" s="43"/>
      <c r="W5" s="43"/>
      <c r="X5" s="43"/>
      <c r="Y5" s="1"/>
      <c r="Z5" s="32"/>
      <c r="AA5" s="42" t="s">
        <v>98</v>
      </c>
      <c r="AB5" s="42"/>
      <c r="AC5" s="42"/>
      <c r="AD5" s="42"/>
      <c r="AE5" s="42"/>
      <c r="AF5" s="42"/>
      <c r="AG5" s="42"/>
      <c r="AL5" s="1"/>
      <c r="AM5" s="1"/>
    </row>
    <row r="6" spans="11:39" ht="57.6" x14ac:dyDescent="0.3">
      <c r="K6" s="8" t="s">
        <v>0</v>
      </c>
      <c r="L6" s="8" t="s">
        <v>85</v>
      </c>
      <c r="M6" s="8" t="s">
        <v>103</v>
      </c>
      <c r="N6" s="7" t="s">
        <v>87</v>
      </c>
      <c r="O6" s="8" t="s">
        <v>88</v>
      </c>
      <c r="P6" s="8" t="s">
        <v>89</v>
      </c>
      <c r="Q6" s="8" t="s">
        <v>100</v>
      </c>
      <c r="R6" s="8" t="s">
        <v>90</v>
      </c>
      <c r="S6" s="8" t="s">
        <v>86</v>
      </c>
      <c r="T6" s="8" t="s">
        <v>88</v>
      </c>
      <c r="U6" s="8" t="s">
        <v>89</v>
      </c>
      <c r="V6" s="8" t="s">
        <v>93</v>
      </c>
      <c r="W6" s="8" t="s">
        <v>90</v>
      </c>
      <c r="X6" s="8" t="s">
        <v>91</v>
      </c>
      <c r="Y6" s="1"/>
      <c r="Z6" s="1"/>
      <c r="AA6" s="8" t="s">
        <v>0</v>
      </c>
      <c r="AB6" s="8" t="s">
        <v>85</v>
      </c>
      <c r="AC6" s="7" t="s">
        <v>87</v>
      </c>
      <c r="AD6" s="33" t="s">
        <v>88</v>
      </c>
      <c r="AE6" s="8" t="s">
        <v>89</v>
      </c>
      <c r="AF6" s="8" t="s">
        <v>93</v>
      </c>
      <c r="AG6" s="8" t="s">
        <v>90</v>
      </c>
      <c r="AH6" s="1"/>
      <c r="AI6" s="1"/>
    </row>
    <row r="7" spans="11:39" x14ac:dyDescent="0.3">
      <c r="K7" s="26" t="s">
        <v>1</v>
      </c>
      <c r="L7" s="26" t="s">
        <v>28</v>
      </c>
      <c r="M7" s="7">
        <v>48</v>
      </c>
      <c r="N7" s="30">
        <v>21932653.371139791</v>
      </c>
      <c r="O7" s="30">
        <v>96686746.987951815</v>
      </c>
      <c r="P7" s="30">
        <v>8317880.8977070563</v>
      </c>
      <c r="Q7" s="30">
        <v>126000</v>
      </c>
      <c r="R7" s="7">
        <v>1688814.3095777638</v>
      </c>
      <c r="S7" s="7" cm="1">
        <f t="array" aca="1" ref="S7" ca="1">SUMPRODUCT(M7/(1+$Q$33)^(ROW(INDIRECT("1:20"))))</f>
        <v>960</v>
      </c>
      <c r="T7" s="7" cm="1">
        <f t="array" aca="1" ref="T7" ca="1">SUMPRODUCT(O7/(1+$Q$33)^(ROW(INDIRECT("1:20"))))</f>
        <v>1933734939.7590356</v>
      </c>
      <c r="U7" s="7" cm="1">
        <f t="array" aca="1" ref="U7" ca="1">SUMPRODUCT(P7/(1+$Q$33)^(ROW(INDIRECT("1:20"))))</f>
        <v>166357617.95414114</v>
      </c>
      <c r="V7" s="7" cm="1">
        <f t="array" aca="1" ref="V7" ca="1">SUMPRODUCT(Q7/(1+$Q$33)^(ROW(INDIRECT("1:20"))))</f>
        <v>2520000</v>
      </c>
      <c r="W7" s="7" cm="1">
        <f t="array" aca="1" ref="W7" ca="1">SUMPRODUCT(R7/(1+$Q$33)^(ROW(INDIRECT("1:20"))))</f>
        <v>33776286.191555269</v>
      </c>
      <c r="X7" s="7">
        <f ca="1">SUM(T7:W7)+N7</f>
        <v>2158321497.2758718</v>
      </c>
      <c r="Y7" s="1"/>
      <c r="Z7" s="1"/>
      <c r="AA7" s="26" t="s">
        <v>1</v>
      </c>
      <c r="AB7" s="26" t="s">
        <v>28</v>
      </c>
      <c r="AC7" s="29">
        <f ca="1">N7/$X$7</f>
        <v>1.0161902848496907E-2</v>
      </c>
      <c r="AD7" s="29">
        <f ca="1">T7/$X$7</f>
        <v>0.89594388148369075</v>
      </c>
      <c r="AE7" s="29">
        <f t="shared" ref="AE7:AG7" ca="1" si="0">U7/$X$7</f>
        <v>7.7077311310715116E-2</v>
      </c>
      <c r="AF7" s="29">
        <f t="shared" ca="1" si="0"/>
        <v>1.1675739704120175E-3</v>
      </c>
      <c r="AG7" s="29">
        <f t="shared" ca="1" si="0"/>
        <v>1.5649330386685232E-2</v>
      </c>
      <c r="AH7" s="1"/>
      <c r="AI7" s="1"/>
    </row>
    <row r="8" spans="11:39" x14ac:dyDescent="0.3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1:39" x14ac:dyDescent="0.3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1:39" x14ac:dyDescent="0.3"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1:39" x14ac:dyDescent="0.3">
      <c r="K11" s="1"/>
      <c r="L11" s="1" t="s">
        <v>102</v>
      </c>
      <c r="M11" s="1">
        <f ca="1">X7/(S7*1000)</f>
        <v>2248.2515596623666</v>
      </c>
      <c r="N11" s="1" t="s">
        <v>104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1:39" x14ac:dyDescent="0.3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1:39" x14ac:dyDescent="0.3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1:39" x14ac:dyDescent="0.3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1:39" x14ac:dyDescent="0.3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</sheetData>
  <mergeCells count="2">
    <mergeCell ref="AA5:AG5"/>
    <mergeCell ref="S5:X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3F6E-6E47-452E-8882-3503860FAEF5}">
  <dimension ref="B3:P17"/>
  <sheetViews>
    <sheetView zoomScale="85" zoomScaleNormal="85" workbookViewId="0"/>
  </sheetViews>
  <sheetFormatPr defaultRowHeight="14.4" x14ac:dyDescent="0.3"/>
  <cols>
    <col min="3" max="3" width="19.44140625" customWidth="1"/>
    <col min="6" max="6" width="35" bestFit="1" customWidth="1"/>
    <col min="7" max="7" width="21.6640625" bestFit="1" customWidth="1"/>
    <col min="8" max="8" width="20.6640625" bestFit="1" customWidth="1"/>
    <col min="9" max="9" width="22.6640625" bestFit="1" customWidth="1"/>
    <col min="10" max="10" width="41.77734375" bestFit="1" customWidth="1"/>
  </cols>
  <sheetData>
    <row r="3" spans="2:16" x14ac:dyDescent="0.3">
      <c r="B3" s="46" t="s">
        <v>0</v>
      </c>
      <c r="C3" s="46" t="s">
        <v>10</v>
      </c>
      <c r="D3" s="51" t="s">
        <v>22</v>
      </c>
      <c r="E3" s="46" t="s">
        <v>23</v>
      </c>
      <c r="F3" s="46" t="s">
        <v>75</v>
      </c>
      <c r="G3" s="46" t="s">
        <v>19</v>
      </c>
      <c r="H3" s="46" t="s">
        <v>20</v>
      </c>
      <c r="I3" s="46" t="s">
        <v>27</v>
      </c>
      <c r="J3" s="46" t="s">
        <v>24</v>
      </c>
      <c r="K3" s="48" t="s">
        <v>3</v>
      </c>
      <c r="L3" s="49"/>
      <c r="M3" s="49"/>
      <c r="N3" s="49"/>
      <c r="O3" s="50"/>
      <c r="P3" s="44" t="s">
        <v>138</v>
      </c>
    </row>
    <row r="4" spans="2:16" ht="49.35" customHeight="1" x14ac:dyDescent="0.3">
      <c r="B4" s="47"/>
      <c r="C4" s="47"/>
      <c r="D4" s="52"/>
      <c r="E4" s="47"/>
      <c r="F4" s="47"/>
      <c r="G4" s="47"/>
      <c r="H4" s="47"/>
      <c r="I4" s="47"/>
      <c r="J4" s="47"/>
      <c r="K4" s="6" t="s">
        <v>5</v>
      </c>
      <c r="L4" s="6" t="s">
        <v>6</v>
      </c>
      <c r="M4" s="6" t="s">
        <v>7</v>
      </c>
      <c r="N4" s="6" t="s">
        <v>8</v>
      </c>
      <c r="O4" s="2" t="s">
        <v>9</v>
      </c>
      <c r="P4" s="44"/>
    </row>
    <row r="5" spans="2:16" x14ac:dyDescent="0.3">
      <c r="B5" s="2" t="s">
        <v>1</v>
      </c>
      <c r="C5" s="2" t="s">
        <v>11</v>
      </c>
      <c r="D5" s="2">
        <v>400</v>
      </c>
      <c r="E5" s="2">
        <v>500</v>
      </c>
      <c r="F5" s="2">
        <v>1.2048000000000001</v>
      </c>
      <c r="G5" s="2">
        <v>4.2000000000000003E-2</v>
      </c>
      <c r="H5" s="2">
        <v>0.12</v>
      </c>
      <c r="I5" s="2">
        <v>3</v>
      </c>
      <c r="J5" s="2">
        <v>28</v>
      </c>
      <c r="K5" s="4">
        <v>0.69066070384805267</v>
      </c>
      <c r="L5" s="4">
        <v>3.01887940914394E-3</v>
      </c>
      <c r="M5" s="4">
        <v>0.3063058132204583</v>
      </c>
      <c r="N5" s="4">
        <v>1.4603522345045886E-5</v>
      </c>
      <c r="O5" s="4">
        <v>0</v>
      </c>
      <c r="P5" s="2"/>
    </row>
    <row r="6" spans="2:16" x14ac:dyDescent="0.3">
      <c r="B6" s="2" t="s">
        <v>2</v>
      </c>
      <c r="C6" s="2" t="s">
        <v>12</v>
      </c>
      <c r="D6" s="2">
        <v>970</v>
      </c>
      <c r="E6" s="2">
        <v>80</v>
      </c>
      <c r="F6" s="2">
        <v>3.2258</v>
      </c>
      <c r="G6" s="2">
        <v>23.2</v>
      </c>
      <c r="H6" s="2">
        <v>0.3</v>
      </c>
      <c r="I6" s="2">
        <v>5</v>
      </c>
      <c r="J6" s="2">
        <v>35</v>
      </c>
      <c r="K6" s="4">
        <v>0.72073342736248236</v>
      </c>
      <c r="L6" s="4">
        <v>0</v>
      </c>
      <c r="M6" s="4">
        <v>0</v>
      </c>
      <c r="N6" s="4">
        <v>0</v>
      </c>
      <c r="O6" s="4">
        <v>0.2792665726375177</v>
      </c>
      <c r="P6" s="2"/>
    </row>
    <row r="7" spans="2:16" ht="28.8" x14ac:dyDescent="0.3">
      <c r="B7" s="2" t="s">
        <v>2</v>
      </c>
      <c r="C7" s="3" t="s">
        <v>13</v>
      </c>
      <c r="D7" s="2">
        <v>970</v>
      </c>
      <c r="E7" s="2">
        <v>80</v>
      </c>
      <c r="F7" s="2">
        <v>5.5555000000000003</v>
      </c>
      <c r="G7" s="2">
        <v>23.2</v>
      </c>
      <c r="H7" s="2">
        <v>0.3</v>
      </c>
      <c r="I7" s="2">
        <v>5</v>
      </c>
      <c r="J7" s="2">
        <v>35</v>
      </c>
      <c r="K7" s="4">
        <v>0.72073342736248236</v>
      </c>
      <c r="L7" s="4">
        <v>0</v>
      </c>
      <c r="M7" s="4">
        <v>0</v>
      </c>
      <c r="N7" s="4">
        <v>0</v>
      </c>
      <c r="O7" s="4">
        <v>0.2792665726375177</v>
      </c>
      <c r="P7" s="2"/>
    </row>
    <row r="8" spans="2:16" ht="43.2" x14ac:dyDescent="0.3">
      <c r="B8" s="2" t="s">
        <v>2</v>
      </c>
      <c r="C8" s="3" t="s">
        <v>14</v>
      </c>
      <c r="D8" s="2">
        <v>970</v>
      </c>
      <c r="E8" s="2">
        <v>80</v>
      </c>
      <c r="F8" s="2">
        <v>7.1429</v>
      </c>
      <c r="G8" s="2">
        <v>23.2</v>
      </c>
      <c r="H8" s="2">
        <v>0.3</v>
      </c>
      <c r="I8" s="2">
        <v>5</v>
      </c>
      <c r="J8" s="2">
        <v>35</v>
      </c>
      <c r="K8" s="4">
        <v>0.72073342736248236</v>
      </c>
      <c r="L8" s="4">
        <v>0</v>
      </c>
      <c r="M8" s="4">
        <v>0</v>
      </c>
      <c r="N8" s="4">
        <v>0</v>
      </c>
      <c r="O8" s="4">
        <v>0.2792665726375177</v>
      </c>
      <c r="P8" s="2"/>
    </row>
    <row r="9" spans="2:16" x14ac:dyDescent="0.3">
      <c r="B9" s="2" t="s">
        <v>4</v>
      </c>
      <c r="C9" s="2" t="s">
        <v>15</v>
      </c>
      <c r="D9" s="2">
        <v>1020</v>
      </c>
      <c r="E9" s="2">
        <v>160</v>
      </c>
      <c r="F9" s="2">
        <v>28.735600000000002</v>
      </c>
      <c r="G9" s="2">
        <v>12.1</v>
      </c>
      <c r="H9" s="2">
        <v>0.5</v>
      </c>
      <c r="I9" s="2">
        <v>4</v>
      </c>
      <c r="J9" s="2">
        <v>33</v>
      </c>
      <c r="K9" s="5">
        <v>0.70843373493975903</v>
      </c>
      <c r="L9" s="5">
        <v>0.19759036144578312</v>
      </c>
      <c r="M9" s="5">
        <v>9.3975903614457831E-2</v>
      </c>
      <c r="N9" s="5">
        <v>0</v>
      </c>
      <c r="O9" s="5">
        <v>0</v>
      </c>
      <c r="P9" s="2"/>
    </row>
    <row r="10" spans="2:16" x14ac:dyDescent="0.3">
      <c r="B10" s="2" t="s">
        <v>4</v>
      </c>
      <c r="C10" s="2" t="s">
        <v>16</v>
      </c>
      <c r="D10" s="2">
        <v>880</v>
      </c>
      <c r="E10" s="2">
        <v>80</v>
      </c>
      <c r="F10" s="2">
        <v>20.153199999999998</v>
      </c>
      <c r="G10" s="2">
        <v>12.1</v>
      </c>
      <c r="H10" s="2">
        <v>0.5</v>
      </c>
      <c r="I10" s="2">
        <v>4</v>
      </c>
      <c r="J10" s="2">
        <v>33</v>
      </c>
      <c r="K10" s="5">
        <v>0.70843373493975903</v>
      </c>
      <c r="L10" s="5">
        <v>0.19759036144578312</v>
      </c>
      <c r="M10" s="5">
        <v>9.3975903614457831E-2</v>
      </c>
      <c r="N10" s="5">
        <v>0</v>
      </c>
      <c r="O10" s="5">
        <v>0</v>
      </c>
      <c r="P10" s="2"/>
    </row>
    <row r="11" spans="2:16" x14ac:dyDescent="0.3">
      <c r="B11" s="2" t="s">
        <v>4</v>
      </c>
      <c r="C11" s="2" t="s">
        <v>17</v>
      </c>
      <c r="D11" s="2">
        <v>880</v>
      </c>
      <c r="E11" s="2">
        <v>80</v>
      </c>
      <c r="F11" s="2">
        <v>1.9379999999999999</v>
      </c>
      <c r="G11" s="2">
        <v>12.1</v>
      </c>
      <c r="H11" s="2">
        <v>0.5</v>
      </c>
      <c r="I11" s="2">
        <v>4</v>
      </c>
      <c r="J11" s="2">
        <v>33</v>
      </c>
      <c r="K11" s="5">
        <v>0.70843373493975903</v>
      </c>
      <c r="L11" s="5">
        <v>0.19759036144578312</v>
      </c>
      <c r="M11" s="5">
        <v>9.3975903614457831E-2</v>
      </c>
      <c r="N11" s="5">
        <v>0</v>
      </c>
      <c r="O11" s="5">
        <v>0</v>
      </c>
      <c r="P11" s="2"/>
    </row>
    <row r="12" spans="2:16" x14ac:dyDescent="0.3">
      <c r="B12" s="2" t="s">
        <v>4</v>
      </c>
      <c r="C12" s="2" t="s">
        <v>18</v>
      </c>
      <c r="D12" s="2">
        <v>880</v>
      </c>
      <c r="E12" s="2">
        <v>80</v>
      </c>
      <c r="F12" s="2">
        <v>6.6933999999999996</v>
      </c>
      <c r="G12" s="2">
        <v>12.1</v>
      </c>
      <c r="H12" s="2">
        <v>0.5</v>
      </c>
      <c r="I12" s="2">
        <v>4</v>
      </c>
      <c r="J12" s="2">
        <v>33</v>
      </c>
      <c r="K12" s="5">
        <v>0.70843373493975903</v>
      </c>
      <c r="L12" s="5">
        <v>0.19759036144578312</v>
      </c>
      <c r="M12" s="5">
        <v>9.3975903614457831E-2</v>
      </c>
      <c r="N12" s="5">
        <v>0</v>
      </c>
      <c r="O12" s="5">
        <v>0</v>
      </c>
      <c r="P12" s="2"/>
    </row>
    <row r="13" spans="2:16" x14ac:dyDescent="0.3"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5" spans="2:16" x14ac:dyDescent="0.3">
      <c r="B15" s="45" t="s">
        <v>136</v>
      </c>
      <c r="C15" s="45"/>
      <c r="D15" s="45"/>
      <c r="E15" s="45"/>
      <c r="F15" s="45"/>
    </row>
    <row r="16" spans="2:16" x14ac:dyDescent="0.3">
      <c r="B16" s="6" t="s">
        <v>5</v>
      </c>
      <c r="C16" s="6" t="s">
        <v>6</v>
      </c>
      <c r="D16" s="6" t="s">
        <v>7</v>
      </c>
      <c r="E16" s="6" t="s">
        <v>8</v>
      </c>
      <c r="F16" s="2" t="s">
        <v>9</v>
      </c>
    </row>
    <row r="17" spans="2:6" x14ac:dyDescent="0.3">
      <c r="B17" s="2">
        <v>0.84699999999999998</v>
      </c>
      <c r="C17" s="2">
        <v>0.85</v>
      </c>
      <c r="D17" s="2" t="s">
        <v>137</v>
      </c>
      <c r="E17" s="2" t="s">
        <v>137</v>
      </c>
      <c r="F17" s="2">
        <v>0.84</v>
      </c>
    </row>
  </sheetData>
  <mergeCells count="12">
    <mergeCell ref="P3:P4"/>
    <mergeCell ref="B15:F15"/>
    <mergeCell ref="H3:H4"/>
    <mergeCell ref="I3:I4"/>
    <mergeCell ref="J3:J4"/>
    <mergeCell ref="K3:O3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7A2B-C9BB-4E81-B877-1527B1BCD1DF}">
  <dimension ref="B3:D20"/>
  <sheetViews>
    <sheetView workbookViewId="0">
      <selection activeCell="C4" sqref="C4"/>
    </sheetView>
  </sheetViews>
  <sheetFormatPr defaultRowHeight="14.4" x14ac:dyDescent="0.3"/>
  <cols>
    <col min="3" max="3" width="158.44140625" bestFit="1" customWidth="1"/>
    <col min="4" max="4" width="39.5546875" bestFit="1" customWidth="1"/>
  </cols>
  <sheetData>
    <row r="3" spans="2:4" x14ac:dyDescent="0.3">
      <c r="B3">
        <v>1</v>
      </c>
      <c r="C3" t="s">
        <v>114</v>
      </c>
    </row>
    <row r="4" spans="2:4" x14ac:dyDescent="0.3">
      <c r="B4">
        <v>2</v>
      </c>
      <c r="C4" t="s">
        <v>105</v>
      </c>
    </row>
    <row r="5" spans="2:4" x14ac:dyDescent="0.3">
      <c r="C5" s="27" t="s">
        <v>106</v>
      </c>
      <c r="D5" s="27" t="s">
        <v>107</v>
      </c>
    </row>
    <row r="6" spans="2:4" x14ac:dyDescent="0.3">
      <c r="C6" s="27" t="s">
        <v>108</v>
      </c>
      <c r="D6" s="27" t="s">
        <v>109</v>
      </c>
    </row>
    <row r="7" spans="2:4" x14ac:dyDescent="0.3">
      <c r="C7" s="36" t="s">
        <v>26</v>
      </c>
      <c r="D7" s="36" t="s">
        <v>63</v>
      </c>
    </row>
    <row r="8" spans="2:4" x14ac:dyDescent="0.3">
      <c r="C8" s="36" t="s">
        <v>110</v>
      </c>
      <c r="D8" s="36" t="s">
        <v>111</v>
      </c>
    </row>
    <row r="9" spans="2:4" x14ac:dyDescent="0.3">
      <c r="C9" s="27" t="s">
        <v>112</v>
      </c>
      <c r="D9" s="27" t="s">
        <v>113</v>
      </c>
    </row>
    <row r="10" spans="2:4" x14ac:dyDescent="0.3">
      <c r="C10" s="27" t="s">
        <v>115</v>
      </c>
      <c r="D10" s="27" t="s">
        <v>116</v>
      </c>
    </row>
    <row r="11" spans="2:4" x14ac:dyDescent="0.3">
      <c r="C11" s="27" t="s">
        <v>118</v>
      </c>
      <c r="D11" s="27" t="s">
        <v>117</v>
      </c>
    </row>
    <row r="12" spans="2:4" x14ac:dyDescent="0.3">
      <c r="B12">
        <v>3</v>
      </c>
      <c r="C12" t="s">
        <v>119</v>
      </c>
    </row>
    <row r="13" spans="2:4" x14ac:dyDescent="0.3">
      <c r="B13">
        <v>4</v>
      </c>
      <c r="C13" t="s">
        <v>120</v>
      </c>
    </row>
    <row r="14" spans="2:4" x14ac:dyDescent="0.3">
      <c r="B14">
        <v>5</v>
      </c>
      <c r="C14" t="s">
        <v>121</v>
      </c>
    </row>
    <row r="15" spans="2:4" x14ac:dyDescent="0.3">
      <c r="B15">
        <v>6</v>
      </c>
      <c r="C15" t="s">
        <v>122</v>
      </c>
    </row>
    <row r="16" spans="2:4" x14ac:dyDescent="0.3">
      <c r="B16">
        <v>7</v>
      </c>
      <c r="C16" t="s">
        <v>123</v>
      </c>
    </row>
    <row r="17" spans="2:3" x14ac:dyDescent="0.3">
      <c r="B17">
        <v>8</v>
      </c>
      <c r="C17" t="s">
        <v>124</v>
      </c>
    </row>
    <row r="18" spans="2:3" x14ac:dyDescent="0.3">
      <c r="B18">
        <v>9</v>
      </c>
      <c r="C18" t="s">
        <v>125</v>
      </c>
    </row>
    <row r="19" spans="2:3" x14ac:dyDescent="0.3">
      <c r="B19">
        <v>10</v>
      </c>
    </row>
    <row r="20" spans="2:3" x14ac:dyDescent="0.3">
      <c r="B20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spec</vt:lpstr>
      <vt:lpstr>LCOP</vt:lpstr>
      <vt:lpstr>Appendix</vt:lpstr>
      <vt:lpstr>Notes</vt:lpstr>
      <vt:lpstr>spec!Print_Area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R&amp;D Office 2</dc:creator>
  <cp:lastModifiedBy>Iqraq Kamal</cp:lastModifiedBy>
  <cp:lastPrinted>2025-10-13T06:38:07Z</cp:lastPrinted>
  <dcterms:created xsi:type="dcterms:W3CDTF">2025-08-06T02:27:12Z</dcterms:created>
  <dcterms:modified xsi:type="dcterms:W3CDTF">2025-10-31T10:21:36Z</dcterms:modified>
</cp:coreProperties>
</file>